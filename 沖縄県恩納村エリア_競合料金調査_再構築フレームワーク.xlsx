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1_概要" sheetId="1" state="visible" r:id="rId1"/>
    <sheet xmlns:r="http://schemas.openxmlformats.org/officeDocument/2006/relationships" name="02_競合セット" sheetId="2" state="visible" r:id="rId2"/>
    <sheet xmlns:r="http://schemas.openxmlformats.org/officeDocument/2006/relationships" name="03_料金採取テンプレ" sheetId="3" state="visible" r:id="rId3"/>
    <sheet xmlns:r="http://schemas.openxmlformats.org/officeDocument/2006/relationships" name="04_再構築分析" sheetId="4" state="visible" r:id="rId4"/>
    <sheet xmlns:r="http://schemas.openxmlformats.org/officeDocument/2006/relationships" name="05_採取手順・定義"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45">
    <font>
      <name val="Calibri"/>
      <charset val="1"/>
      <family val="2"/>
      <color theme="1"/>
      <sz val="11"/>
    </font>
    <font>
      <name val="Arial"/>
      <family val="0"/>
      <sz val="10"/>
    </font>
    <font>
      <name val="Arial"/>
      <family val="0"/>
      <sz val="10"/>
    </font>
    <font>
      <name val="Arial"/>
      <family val="0"/>
      <sz val="10"/>
    </font>
    <font>
      <name val="Noto Sans CJK SC"/>
      <family val="2"/>
      <b val="1"/>
      <color rgb="FFFFFFFF"/>
      <sz val="16"/>
    </font>
    <font>
      <name val="Noto Sans CJK SC"/>
      <family val="2"/>
      <i val="1"/>
      <color rgb="FFFFFFFF"/>
      <sz val="10"/>
    </font>
    <font>
      <name val="Arial"/>
      <charset val="1"/>
      <family val="0"/>
      <i val="1"/>
      <color rgb="FFFFFFFF"/>
      <sz val="10"/>
    </font>
    <font>
      <name val="Noto Sans CJK SC"/>
      <family val="2"/>
      <b val="1"/>
      <color rgb="FF1F3A5F"/>
      <sz val="11"/>
    </font>
    <font>
      <name val="Arial"/>
      <charset val="1"/>
      <family val="0"/>
      <b val="1"/>
      <color rgb="FF1F3A5F"/>
      <sz val="11"/>
    </font>
    <font>
      <name val="Noto Sans CJK SC"/>
      <family val="2"/>
      <b val="1"/>
      <color rgb="FF1A1A1A"/>
      <sz val="10"/>
    </font>
    <font>
      <name val="Arial"/>
      <charset val="1"/>
      <family val="0"/>
      <color rgb="FF1A1A1A"/>
      <sz val="10"/>
    </font>
    <font>
      <name val="Noto Sans CJK SC"/>
      <family val="2"/>
      <color rgb="FF1A1A1A"/>
      <sz val="10"/>
    </font>
    <font>
      <name val="Arial"/>
      <charset val="1"/>
      <family val="0"/>
      <b val="1"/>
      <color rgb="FF1A1A1A"/>
      <sz val="10"/>
    </font>
    <font>
      <name val="Arial"/>
      <charset val="1"/>
      <family val="0"/>
      <b val="1"/>
      <color rgb="FF0E6E7A"/>
      <sz val="10"/>
    </font>
    <font>
      <name val="Noto Sans CJK SC"/>
      <family val="2"/>
      <b val="1"/>
      <color rgb="FF0E6E7A"/>
      <sz val="10"/>
    </font>
    <font>
      <name val="Noto Sans CJK SC"/>
      <family val="2"/>
      <color rgb="FF6B7683"/>
      <sz val="9"/>
    </font>
    <font>
      <name val="Arial"/>
      <charset val="1"/>
      <family val="0"/>
      <color rgb="FF6B7683"/>
      <sz val="9"/>
    </font>
    <font>
      <name val="Arial"/>
      <charset val="1"/>
      <family val="0"/>
      <b val="1"/>
      <color rgb="FFFFFFFF"/>
      <sz val="10"/>
    </font>
    <font>
      <name val="Noto Sans CJK SC"/>
      <family val="2"/>
      <b val="1"/>
      <color rgb="FFFFFFFF"/>
      <sz val="10"/>
    </font>
    <font>
      <name val="Arial"/>
      <charset val="1"/>
      <family val="0"/>
      <color rgb="FF1A1A1A"/>
      <sz val="9"/>
    </font>
    <font>
      <name val="Noto Sans CJK SC"/>
      <family val="2"/>
      <b val="1"/>
      <color rgb="FF1A1A1A"/>
      <sz val="9"/>
    </font>
    <font>
      <name val="Noto Sans CJK SC"/>
      <family val="2"/>
      <color rgb="FF1A1A1A"/>
      <sz val="9"/>
    </font>
    <font>
      <name val="Arial"/>
      <charset val="1"/>
      <family val="0"/>
      <b val="1"/>
      <color rgb="FF1A1A1A"/>
      <sz val="9"/>
    </font>
    <font>
      <name val="Noto Sans CJK SC"/>
      <family val="2"/>
      <b val="1"/>
      <color rgb="FFB0521A"/>
      <sz val="9"/>
    </font>
    <font>
      <name val="Noto Sans CJK SC"/>
      <family val="2"/>
      <i val="1"/>
      <color rgb="FF6B7683"/>
      <sz val="8"/>
    </font>
    <font>
      <name val="Arial"/>
      <charset val="1"/>
      <family val="0"/>
      <i val="1"/>
      <color rgb="FF6B7683"/>
      <sz val="8"/>
    </font>
    <font>
      <name val="Noto Sans CJK SC"/>
      <family val="2"/>
      <i val="1"/>
      <color rgb="FF6B7683"/>
      <sz val="9"/>
    </font>
    <font>
      <name val="Arial"/>
      <charset val="1"/>
      <family val="0"/>
      <i val="1"/>
      <color rgb="FF6B7683"/>
      <sz val="9"/>
    </font>
    <font>
      <name val="Arial"/>
      <charset val="1"/>
      <family val="0"/>
      <b val="1"/>
      <color rgb="FFFFFFFF"/>
      <sz val="9"/>
    </font>
    <font>
      <name val="Noto Sans CJK SC"/>
      <family val="2"/>
      <b val="1"/>
      <color rgb="FFFFFFFF"/>
      <sz val="9"/>
    </font>
    <font>
      <name val="Arial"/>
      <charset val="1"/>
      <family val="0"/>
      <b val="1"/>
      <color rgb="FF1F3A5F"/>
      <sz val="8"/>
    </font>
    <font>
      <name val="Noto Sans CJK SC"/>
      <family val="2"/>
      <b val="1"/>
      <color rgb="FF6B7683"/>
      <sz val="8"/>
    </font>
    <font>
      <name val="Arial"/>
      <charset val="1"/>
      <family val="0"/>
      <color rgb="FF1A1A1A"/>
      <sz val="8"/>
    </font>
    <font>
      <name val="Noto Sans CJK SC"/>
      <family val="2"/>
      <b val="1"/>
      <color rgb="FF1A1A1A"/>
      <sz val="8"/>
    </font>
    <font>
      <name val="Arial"/>
      <charset val="1"/>
      <family val="0"/>
      <b val="1"/>
      <color rgb="FF1A1A1A"/>
      <sz val="8"/>
    </font>
    <font>
      <name val="Noto Sans CJK SC"/>
      <family val="2"/>
      <b val="1"/>
      <color rgb="FF1F3A5F"/>
      <sz val="9"/>
    </font>
    <font>
      <name val="Noto Sans CJK SC"/>
      <family val="2"/>
      <b val="1"/>
      <color rgb="FFFFFFFF"/>
      <sz val="14"/>
    </font>
    <font>
      <name val="Arial"/>
      <charset val="1"/>
      <family val="0"/>
      <b val="1"/>
      <color rgb="FFFFFFFF"/>
      <sz val="14"/>
    </font>
    <font>
      <name val="Arial"/>
      <charset val="1"/>
      <family val="0"/>
      <color rgb="FF0000FF"/>
      <sz val="9"/>
    </font>
    <font>
      <name val="Arial"/>
      <charset val="1"/>
      <family val="0"/>
      <b val="1"/>
      <color rgb="FF1F3A5F"/>
      <sz val="9"/>
    </font>
    <font>
      <name val="Noto Sans CJK SC"/>
      <family val="2"/>
      <b val="1"/>
      <color rgb="FFFFFFFF"/>
      <sz val="13"/>
    </font>
    <font>
      <name val="Noto Sans CJK SC"/>
      <family val="2"/>
      <b val="1"/>
      <color rgb="FF1F3A5F"/>
      <sz val="10"/>
    </font>
    <font>
      <name val="Arial"/>
      <charset val="1"/>
      <family val="0"/>
      <b val="1"/>
      <color rgb="FF1F3A5F"/>
      <sz val="10"/>
    </font>
    <font>
      <b val="1"/>
    </font>
    <font>
      <color rgb="000563C1"/>
      <u val="single"/>
    </font>
  </fonts>
  <fills count="11">
    <fill>
      <patternFill/>
    </fill>
    <fill>
      <patternFill patternType="gray125"/>
    </fill>
    <fill>
      <patternFill patternType="solid">
        <fgColor rgb="FF1F3A5F"/>
        <bgColor rgb="FF333399"/>
      </patternFill>
    </fill>
    <fill>
      <patternFill patternType="solid">
        <fgColor rgb="FF0E6E7A"/>
        <bgColor rgb="FF008080"/>
      </patternFill>
    </fill>
    <fill>
      <patternFill patternType="solid">
        <fgColor rgb="FFF2F5F8"/>
        <bgColor rgb="FFE7EFE9"/>
      </patternFill>
    </fill>
    <fill>
      <patternFill patternType="solid">
        <fgColor rgb="FF3E7C59"/>
        <bgColor rgb="FF3E5C76"/>
      </patternFill>
    </fill>
    <fill>
      <patternFill patternType="solid">
        <fgColor rgb="FF8A6D3B"/>
        <bgColor rgb="FF6B7683"/>
      </patternFill>
    </fill>
    <fill>
      <patternFill patternType="solid">
        <fgColor rgb="FFEFE7D6"/>
        <bgColor rgb="FFE7EFE9"/>
      </patternFill>
    </fill>
    <fill>
      <patternFill patternType="solid">
        <fgColor rgb="FFFFF4C2"/>
        <bgColor rgb="FFEFE7D6"/>
      </patternFill>
    </fill>
    <fill>
      <patternFill patternType="solid">
        <fgColor rgb="FFE7EFE9"/>
        <bgColor rgb="FFF2F5F8"/>
      </patternFill>
    </fill>
    <fill>
      <patternFill patternType="solid">
        <fgColor rgb="FF3E5C76"/>
        <bgColor rgb="FF3E7C59"/>
      </patternFill>
    </fill>
  </fills>
  <borders count="5">
    <border>
      <left/>
      <right/>
      <top/>
      <bottom/>
      <diagonal/>
    </border>
    <border>
      <left style="thin">
        <color rgb="FFC9D2DC"/>
      </left>
      <right style="thin">
        <color rgb="FFC9D2DC"/>
      </right>
      <top style="thin">
        <color rgb="FFC9D2DC"/>
      </top>
      <bottom style="thin">
        <color rgb="FFC9D2DC"/>
      </bottom>
      <diagonal/>
    </border>
    <border>
      <left style="thin">
        <color rgb="FFC9D2DC"/>
      </left>
      <right/>
      <top style="thin">
        <color rgb="FFC9D2DC"/>
      </top>
      <bottom style="thin">
        <color rgb="FFC9D2DC"/>
      </bottom>
      <diagonal/>
    </border>
    <border>
      <left/>
      <right/>
      <top style="thin">
        <color rgb="FFC9D2DC"/>
      </top>
      <bottom/>
      <diagonal/>
    </border>
    <border>
      <left/>
      <right/>
      <top style="thin">
        <color rgb="FFC9D2DC"/>
      </top>
      <bottom style="thin">
        <color rgb="FFC9D2D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0">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5" fillId="0" borderId="0" applyAlignment="1" pivotButton="0" quotePrefix="0" xfId="0">
      <alignment horizontal="left" vertical="center" wrapText="1"/>
    </xf>
    <xf numFmtId="0" fontId="7" fillId="0" borderId="0" applyAlignment="1" pivotButton="0" quotePrefix="0" xfId="0">
      <alignment horizontal="left" vertical="center"/>
    </xf>
    <xf numFmtId="0" fontId="17"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xf>
    <xf numFmtId="0" fontId="21" fillId="0" borderId="1" applyAlignment="1" pivotButton="0" quotePrefix="0" xfId="0">
      <alignment horizontal="center" vertical="center" wrapText="1"/>
    </xf>
    <xf numFmtId="0" fontId="21" fillId="0" borderId="1" applyAlignment="1" pivotButton="0" quotePrefix="0" xfId="0">
      <alignment horizontal="left" vertical="center" wrapText="1"/>
    </xf>
    <xf numFmtId="0" fontId="19" fillId="4" borderId="1" applyAlignment="1" pivotButton="0" quotePrefix="0" xfId="0">
      <alignment horizontal="center" vertical="center" wrapText="1"/>
    </xf>
    <xf numFmtId="0" fontId="20" fillId="4" borderId="1" applyAlignment="1" pivotButton="0" quotePrefix="0" xfId="0">
      <alignment horizontal="left" vertical="center" wrapText="1"/>
    </xf>
    <xf numFmtId="0" fontId="21" fillId="4" borderId="1" applyAlignment="1" pivotButton="0" quotePrefix="0" xfId="0">
      <alignment horizontal="center" vertical="center" wrapText="1"/>
    </xf>
    <xf numFmtId="0" fontId="21" fillId="4" borderId="1" applyAlignment="1" pivotButton="0" quotePrefix="0" xfId="0">
      <alignment horizontal="left" vertical="center" wrapText="1"/>
    </xf>
    <xf numFmtId="0" fontId="22"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19" fillId="4" borderId="1" applyAlignment="1" pivotButton="0" quotePrefix="0" xfId="0">
      <alignment horizontal="left" vertical="center" wrapText="1"/>
    </xf>
    <xf numFmtId="0" fontId="23" fillId="4" borderId="1" applyAlignment="1" pivotButton="0" quotePrefix="0" xfId="0">
      <alignment horizontal="center" vertical="center" wrapText="1"/>
    </xf>
    <xf numFmtId="0" fontId="22" fillId="4" borderId="1" applyAlignment="1" pivotButton="0" quotePrefix="0" xfId="0">
      <alignment horizontal="left" vertical="center" wrapText="1"/>
    </xf>
    <xf numFmtId="0" fontId="24" fillId="0" borderId="0" applyAlignment="1" pivotButton="0" quotePrefix="0" xfId="0">
      <alignment horizontal="left" vertical="center" wrapText="1"/>
    </xf>
    <xf numFmtId="0" fontId="26" fillId="0" borderId="0" applyAlignment="1" pivotButton="0" quotePrefix="0" xfId="0">
      <alignment horizontal="left" vertical="center"/>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8" fillId="3" borderId="2" applyAlignment="1" pivotButton="0" quotePrefix="0" xfId="0">
      <alignment horizontal="center" vertical="center" wrapText="1"/>
    </xf>
    <xf numFmtId="0" fontId="28" fillId="5" borderId="2" applyAlignment="1" pivotButton="0" quotePrefix="0" xfId="0">
      <alignment horizontal="center" vertical="center" wrapText="1"/>
    </xf>
    <xf numFmtId="0" fontId="28" fillId="6" borderId="2" applyAlignment="1" pivotButton="0" quotePrefix="0" xfId="0">
      <alignment horizontal="center" vertical="center" wrapText="1"/>
    </xf>
    <xf numFmtId="0" fontId="30" fillId="7" borderId="1" applyAlignment="1" pivotButton="0" quotePrefix="0" xfId="0">
      <alignment horizontal="center" vertical="center" wrapText="1"/>
    </xf>
    <xf numFmtId="0" fontId="31" fillId="0" borderId="0" applyAlignment="1" pivotButton="0" quotePrefix="0" xfId="0">
      <alignment horizontal="right" vertical="center"/>
    </xf>
    <xf numFmtId="0" fontId="24" fillId="8" borderId="2"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left" vertical="center" wrapText="1"/>
    </xf>
    <xf numFmtId="3" fontId="19" fillId="8" borderId="1" applyAlignment="1" pivotButton="0" quotePrefix="0" xfId="0">
      <alignment horizontal="general" vertical="bottom"/>
    </xf>
    <xf numFmtId="0" fontId="33" fillId="4" borderId="1" applyAlignment="1" pivotButton="0" quotePrefix="0" xfId="0">
      <alignment horizontal="left" vertical="center" wrapText="1"/>
    </xf>
    <xf numFmtId="0" fontId="34" fillId="0" borderId="1" applyAlignment="1" pivotButton="0" quotePrefix="0" xfId="0">
      <alignment horizontal="left" vertical="center" wrapText="1"/>
    </xf>
    <xf numFmtId="0" fontId="34" fillId="4" borderId="1" applyAlignment="1" pivotButton="0" quotePrefix="0" xfId="0">
      <alignment horizontal="left" vertical="center" wrapText="1"/>
    </xf>
    <xf numFmtId="0" fontId="35" fillId="0" borderId="0" applyAlignment="1" pivotButton="0" quotePrefix="0" xfId="0">
      <alignment horizontal="right" vertical="center"/>
    </xf>
    <xf numFmtId="3" fontId="22" fillId="9" borderId="1" applyAlignment="1" pivotButton="0" quotePrefix="0" xfId="0">
      <alignment horizontal="center" vertical="center" wrapText="1"/>
    </xf>
    <xf numFmtId="0" fontId="36" fillId="2" borderId="0" applyAlignment="1" pivotButton="0" quotePrefix="0" xfId="0">
      <alignment horizontal="left" vertical="center"/>
    </xf>
    <xf numFmtId="0" fontId="8" fillId="0" borderId="0" applyAlignment="1" pivotButton="0" quotePrefix="0" xfId="0">
      <alignment horizontal="general" vertical="bottom"/>
    </xf>
    <xf numFmtId="0" fontId="29" fillId="3" borderId="1" applyAlignment="1" pivotButton="0" quotePrefix="0" xfId="0">
      <alignment horizontal="center" vertical="center" wrapText="1"/>
    </xf>
    <xf numFmtId="3" fontId="19" fillId="4" borderId="1" applyAlignment="1" pivotButton="0" quotePrefix="0" xfId="0">
      <alignment horizontal="center" vertical="center" wrapText="1"/>
    </xf>
    <xf numFmtId="3" fontId="19" fillId="0" borderId="1" applyAlignment="1" pivotButton="0" quotePrefix="0" xfId="0">
      <alignment horizontal="center" vertical="center" wrapText="1"/>
    </xf>
    <xf numFmtId="0" fontId="29" fillId="10" borderId="1" applyAlignment="1" pivotButton="0" quotePrefix="0" xfId="0">
      <alignment horizontal="center" vertical="center" wrapText="1"/>
    </xf>
    <xf numFmtId="3" fontId="38" fillId="8" borderId="1" applyAlignment="1" pivotButton="0" quotePrefix="0" xfId="0">
      <alignment horizontal="center" vertical="center" wrapText="1"/>
    </xf>
    <xf numFmtId="164" fontId="38" fillId="8" borderId="1" applyAlignment="1" pivotButton="0" quotePrefix="0" xfId="0">
      <alignment horizontal="center" vertical="center" wrapText="1"/>
    </xf>
    <xf numFmtId="0" fontId="35" fillId="0" borderId="1" applyAlignment="1" pivotButton="0" quotePrefix="0" xfId="0">
      <alignment horizontal="right" vertical="center"/>
    </xf>
    <xf numFmtId="0" fontId="25" fillId="0" borderId="0" applyAlignment="1" pivotButton="0" quotePrefix="0" xfId="0">
      <alignment horizontal="left" vertical="center" wrapText="1"/>
    </xf>
    <xf numFmtId="0" fontId="40" fillId="2" borderId="0" applyAlignment="1" pivotButton="0" quotePrefix="0" xfId="0">
      <alignment horizontal="left" vertical="center"/>
    </xf>
    <xf numFmtId="0" fontId="41" fillId="7" borderId="1" applyAlignment="1" pivotButton="0" quotePrefix="0" xfId="0">
      <alignment horizontal="left" vertical="top" wrapText="1"/>
    </xf>
    <xf numFmtId="0" fontId="11"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5" fillId="0" borderId="0" applyAlignment="1" pivotButton="0" quotePrefix="0" xfId="0">
      <alignment horizontal="left" vertical="center" wrapText="1"/>
    </xf>
    <xf numFmtId="0" fontId="7" fillId="0" borderId="0" applyAlignment="1" pivotButton="0" quotePrefix="0" xfId="0">
      <alignment horizontal="left" vertical="center"/>
    </xf>
    <xf numFmtId="0" fontId="17"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9" fillId="0" borderId="1" applyAlignment="1" pivotButton="0" quotePrefix="0" xfId="0">
      <alignment horizontal="center" vertical="center" wrapText="1"/>
    </xf>
    <xf numFmtId="0" fontId="20" fillId="0" borderId="1" applyAlignment="1" pivotButton="0" quotePrefix="0" xfId="0">
      <alignment horizontal="left" vertical="center" wrapText="1"/>
    </xf>
    <xf numFmtId="0" fontId="21" fillId="0" borderId="1" applyAlignment="1" pivotButton="0" quotePrefix="0" xfId="0">
      <alignment horizontal="center" vertical="center" wrapText="1"/>
    </xf>
    <xf numFmtId="0" fontId="21" fillId="0" borderId="1" applyAlignment="1" pivotButton="0" quotePrefix="0" xfId="0">
      <alignment horizontal="left" vertical="center" wrapText="1"/>
    </xf>
    <xf numFmtId="0" fontId="19" fillId="4" borderId="1" applyAlignment="1" pivotButton="0" quotePrefix="0" xfId="0">
      <alignment horizontal="center" vertical="center" wrapText="1"/>
    </xf>
    <xf numFmtId="0" fontId="20" fillId="4" borderId="1" applyAlignment="1" pivotButton="0" quotePrefix="0" xfId="0">
      <alignment horizontal="left" vertical="center" wrapText="1"/>
    </xf>
    <xf numFmtId="0" fontId="21" fillId="4" borderId="1" applyAlignment="1" pivotButton="0" quotePrefix="0" xfId="0">
      <alignment horizontal="center" vertical="center" wrapText="1"/>
    </xf>
    <xf numFmtId="0" fontId="21" fillId="4" borderId="1" applyAlignment="1" pivotButton="0" quotePrefix="0" xfId="0">
      <alignment horizontal="left" vertical="center" wrapText="1"/>
    </xf>
    <xf numFmtId="0" fontId="22"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19" fillId="4" borderId="1" applyAlignment="1" pivotButton="0" quotePrefix="0" xfId="0">
      <alignment horizontal="left" vertical="center" wrapText="1"/>
    </xf>
    <xf numFmtId="0" fontId="23" fillId="4" borderId="1" applyAlignment="1" pivotButton="0" quotePrefix="0" xfId="0">
      <alignment horizontal="center" vertical="center" wrapText="1"/>
    </xf>
    <xf numFmtId="0" fontId="22" fillId="4" borderId="1" applyAlignment="1" pivotButton="0" quotePrefix="0" xfId="0">
      <alignment horizontal="left" vertical="center" wrapText="1"/>
    </xf>
    <xf numFmtId="0" fontId="24" fillId="0" borderId="0" applyAlignment="1" pivotButton="0" quotePrefix="0" xfId="0">
      <alignment horizontal="left" vertical="center" wrapText="1"/>
    </xf>
    <xf numFmtId="0" fontId="26" fillId="0" borderId="0" applyAlignment="1" pivotButton="0" quotePrefix="0" xfId="0">
      <alignment horizontal="left" vertical="center"/>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8" fillId="3" borderId="2" applyAlignment="1" pivotButton="0" quotePrefix="0" xfId="0">
      <alignment horizontal="center" vertical="center" wrapText="1"/>
    </xf>
    <xf numFmtId="0" fontId="0" fillId="0" borderId="4" pivotButton="0" quotePrefix="0" xfId="0"/>
    <xf numFmtId="0" fontId="28" fillId="5" borderId="2" applyAlignment="1" pivotButton="0" quotePrefix="0" xfId="0">
      <alignment horizontal="center" vertical="center" wrapText="1"/>
    </xf>
    <xf numFmtId="0" fontId="28" fillId="6" borderId="2" applyAlignment="1" pivotButton="0" quotePrefix="0" xfId="0">
      <alignment horizontal="center" vertical="center" wrapText="1"/>
    </xf>
    <xf numFmtId="0" fontId="30" fillId="7" borderId="1" applyAlignment="1" pivotButton="0" quotePrefix="0" xfId="0">
      <alignment horizontal="center" vertical="center" wrapText="1"/>
    </xf>
    <xf numFmtId="0" fontId="31" fillId="0" borderId="0" applyAlignment="1" pivotButton="0" quotePrefix="0" xfId="0">
      <alignment horizontal="right" vertical="center"/>
    </xf>
    <xf numFmtId="0" fontId="24" fillId="8" borderId="2"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left" vertical="center" wrapText="1"/>
    </xf>
    <xf numFmtId="3" fontId="19" fillId="8" borderId="1" applyAlignment="1" pivotButton="0" quotePrefix="0" xfId="0">
      <alignment horizontal="general" vertical="bottom"/>
    </xf>
    <xf numFmtId="0" fontId="33" fillId="4" borderId="1" applyAlignment="1" pivotButton="0" quotePrefix="0" xfId="0">
      <alignment horizontal="left" vertical="center" wrapText="1"/>
    </xf>
    <xf numFmtId="0" fontId="34" fillId="0" borderId="1" applyAlignment="1" pivotButton="0" quotePrefix="0" xfId="0">
      <alignment horizontal="left" vertical="center" wrapText="1"/>
    </xf>
    <xf numFmtId="0" fontId="34" fillId="4" borderId="1" applyAlignment="1" pivotButton="0" quotePrefix="0" xfId="0">
      <alignment horizontal="left" vertical="center" wrapText="1"/>
    </xf>
    <xf numFmtId="0" fontId="35" fillId="0" borderId="0" applyAlignment="1" pivotButton="0" quotePrefix="0" xfId="0">
      <alignment horizontal="right" vertical="center"/>
    </xf>
    <xf numFmtId="3" fontId="22" fillId="9" borderId="1" applyAlignment="1" pivotButton="0" quotePrefix="0" xfId="0">
      <alignment horizontal="center" vertical="center" wrapText="1"/>
    </xf>
    <xf numFmtId="0" fontId="36" fillId="2" borderId="0" applyAlignment="1" pivotButton="0" quotePrefix="0" xfId="0">
      <alignment horizontal="left" vertical="center"/>
    </xf>
    <xf numFmtId="0" fontId="8" fillId="0" borderId="0" applyAlignment="1" pivotButton="0" quotePrefix="0" xfId="0">
      <alignment horizontal="general" vertical="bottom"/>
    </xf>
    <xf numFmtId="0" fontId="29" fillId="3" borderId="1" applyAlignment="1" pivotButton="0" quotePrefix="0" xfId="0">
      <alignment horizontal="center" vertical="center" wrapText="1"/>
    </xf>
    <xf numFmtId="3" fontId="19" fillId="4" borderId="1" applyAlignment="1" pivotButton="0" quotePrefix="0" xfId="0">
      <alignment horizontal="center" vertical="center" wrapText="1"/>
    </xf>
    <xf numFmtId="3" fontId="19" fillId="0" borderId="1" applyAlignment="1" pivotButton="0" quotePrefix="0" xfId="0">
      <alignment horizontal="center" vertical="center" wrapText="1"/>
    </xf>
    <xf numFmtId="0" fontId="29" fillId="10" borderId="1" applyAlignment="1" pivotButton="0" quotePrefix="0" xfId="0">
      <alignment horizontal="center" vertical="center" wrapText="1"/>
    </xf>
    <xf numFmtId="3" fontId="38" fillId="8" borderId="1" applyAlignment="1" pivotButton="0" quotePrefix="0" xfId="0">
      <alignment horizontal="center" vertical="center" wrapText="1"/>
    </xf>
    <xf numFmtId="164" fontId="38" fillId="8" borderId="1" applyAlignment="1" pivotButton="0" quotePrefix="0" xfId="0">
      <alignment horizontal="center" vertical="center" wrapText="1"/>
    </xf>
    <xf numFmtId="0" fontId="35" fillId="0" borderId="1" applyAlignment="1" pivotButton="0" quotePrefix="0" xfId="0">
      <alignment horizontal="right" vertical="center"/>
    </xf>
    <xf numFmtId="0" fontId="25" fillId="0" borderId="0" applyAlignment="1" pivotButton="0" quotePrefix="0" xfId="0">
      <alignment horizontal="left" vertical="center" wrapText="1"/>
    </xf>
    <xf numFmtId="0" fontId="40" fillId="2" borderId="0" applyAlignment="1" pivotButton="0" quotePrefix="0" xfId="0">
      <alignment horizontal="left" vertical="center"/>
    </xf>
    <xf numFmtId="0" fontId="41" fillId="7" borderId="1" applyAlignment="1" pivotButton="0" quotePrefix="0" xfId="0">
      <alignment horizontal="left" vertical="top" wrapText="1"/>
    </xf>
    <xf numFmtId="0" fontId="11"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43" fillId="0" borderId="0" pivotButton="0" quotePrefix="0" xfId="0"/>
    <xf numFmtId="0" fontId="4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3B"/>
      <rgbColor rgb="FF800080"/>
      <rgbColor rgb="FF0E6E7A"/>
      <rgbColor rgb="FFC0C0C0"/>
      <rgbColor rgb="FF6B7683"/>
      <rgbColor rgb="FF9999FF"/>
      <rgbColor rgb="FF993366"/>
      <rgbColor rgb="FFFFF4C2"/>
      <rgbColor rgb="FFE7EFE9"/>
      <rgbColor rgb="FF660066"/>
      <rgbColor rgb="FFFF8080"/>
      <rgbColor rgb="FF0066CC"/>
      <rgbColor rgb="FFC9D2DC"/>
      <rgbColor rgb="FF000080"/>
      <rgbColor rgb="FFFF00FF"/>
      <rgbColor rgb="FFFFFF00"/>
      <rgbColor rgb="FF00FFFF"/>
      <rgbColor rgb="FF800080"/>
      <rgbColor rgb="FF800000"/>
      <rgbColor rgb="FF008080"/>
      <rgbColor rgb="FF0000FF"/>
      <rgbColor rgb="FF00CCFF"/>
      <rgbColor rgb="FFF2F5F8"/>
      <rgbColor rgb="FFEFE7D6"/>
      <rgbColor rgb="FFFFFF99"/>
      <rgbColor rgb="FF99CCFF"/>
      <rgbColor rgb="FFFF99CC"/>
      <rgbColor rgb="FFCC99FF"/>
      <rgbColor rgb="FFFFCC99"/>
      <rgbColor rgb="FF3366FF"/>
      <rgbColor rgb="FF33CCCC"/>
      <rgbColor rgb="FF99CC00"/>
      <rgbColor rgb="FFFFCC00"/>
      <rgbColor rgb="FFFF9900"/>
      <rgbColor rgb="FFFF6600"/>
      <rgbColor rgb="FF3E5C76"/>
      <rgbColor rgb="FF969696"/>
      <rgbColor rgb="FF1F3A5F"/>
      <rgbColor rgb="FF3E7C59"/>
      <rgbColor rgb="FF003300"/>
      <rgbColor rgb="FF333300"/>
      <rgbColor rgb="FFB0521A"/>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Claude</author>
  </authors>
  <commentList>
    <comment ref="O4" authorId="0" shapeId="0">
      <text>
        <t>2026年7月6日時点でWeb検索により確認したURL（施設名検索結果の上位ページ）。リンク切れ・施設名変更の可能性があるため、Claude in Chrome等でアクセス時に再確認してください。</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travel.rakuten.co.jp/HOTEL/172611/172611.html" TargetMode="External" Id="rId1"/><Relationship Type="http://schemas.openxmlformats.org/officeDocument/2006/relationships/hyperlink" Target="https://travel.rakuten.co.jp/HOTEL/166320/166320.html" TargetMode="External" Id="rId2"/><Relationship Type="http://schemas.openxmlformats.org/officeDocument/2006/relationships/hyperlink" Target="https://travel.rakuten.co.jp/HOTEL/16123/16123.html" TargetMode="External" Id="rId3"/><Relationship Type="http://schemas.openxmlformats.org/officeDocument/2006/relationships/hyperlink" Target="https://travel.rakuten.co.jp/HOTEL/13554/13554.html" TargetMode="External" Id="rId4"/><Relationship Type="http://schemas.openxmlformats.org/officeDocument/2006/relationships/hyperlink" Target="https://travel.rakuten.co.jp/HOTEL/54315/54315.html" TargetMode="External" Id="rId5"/><Relationship Type="http://schemas.openxmlformats.org/officeDocument/2006/relationships/hyperlink" Target="https://travel.rakuten.co.jp/HOTEL/141596/141596.html" TargetMode="External" Id="rId6"/><Relationship Type="http://schemas.openxmlformats.org/officeDocument/2006/relationships/hyperlink" Target="https://travel.rakuten.co.jp/HOTEL/14275/14275.html" TargetMode="External" Id="rId7"/><Relationship Type="http://schemas.openxmlformats.org/officeDocument/2006/relationships/hyperlink" Target="https://travel.rakuten.co.jp/HOTEL/52229/52229.html" TargetMode="External" Id="rId8"/><Relationship Type="http://schemas.openxmlformats.org/officeDocument/2006/relationships/hyperlink" Target="https://travel.rakuten.co.jp/HOTEL/15483/15483.html" TargetMode="External" Id="rId9"/><Relationship Type="http://schemas.openxmlformats.org/officeDocument/2006/relationships/hyperlink" Target="https://travel.rakuten.co.jp/HOTEL/78239/78239.html" TargetMode="External" Id="rId10"/><Relationship Type="http://schemas.openxmlformats.org/officeDocument/2006/relationships/hyperlink" Target="https://travel.rakuten.co.jp/HOTEL/70318/70318.html" TargetMode="External" Id="rId11"/><Relationship Type="http://schemas.openxmlformats.org/officeDocument/2006/relationships/hyperlink" Target="https://travel.rakuten.co.jp/HOTEL/180687/180687.html" TargetMode="External" Id="rId12"/><Relationship Type="http://schemas.openxmlformats.org/officeDocument/2006/relationships/hyperlink" Target="https://travel.rakuten.co.jp/HOTEL/183576/183576.html" TargetMode="External" Id="rId13"/><Relationship Type="http://schemas.openxmlformats.org/officeDocument/2006/relationships/hyperlink" Target="https://travel.rakuten.co.jp/HOTEL/179815/179815.html" TargetMode="External" Id="rId14"/><Relationship Type="http://schemas.openxmlformats.org/officeDocument/2006/relationships/hyperlink" Target="https://travel.rakuten.co.jp/HOTEL/104679/104679.html" TargetMode="External" Id="rId15"/><Relationship Type="http://schemas.openxmlformats.org/officeDocument/2006/relationships/hyperlink" Target="https://travel.rakuten.co.jp/HOTEL/184015/184015.html" TargetMode="External" Id="rId16"/><Relationship Type="http://schemas.openxmlformats.org/officeDocument/2006/relationships/hyperlink" Target="https://travel.rakuten.co.jp/HOTEL/158440/158440.html" TargetMode="External" Id="rId17"/><Relationship Type="http://schemas.openxmlformats.org/officeDocument/2006/relationships/hyperlink" Target="https://travel.rakuten.co.jp/HOTEL/164539/164539.html" TargetMode="External" Id="rId18"/><Relationship Type="http://schemas.openxmlformats.org/officeDocument/2006/relationships/hyperlink" Target="https://travel.rakuten.co.jp/HOTEL/107650/107650.html" TargetMode="External" Id="rId19"/><Relationship Type="http://schemas.openxmlformats.org/officeDocument/2006/relationships/hyperlink" Target="https://travel.rakuten.co.jp/HOTEL/76791/76791.html" TargetMode="External" Id="rId2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B2:G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58" min="1" max="1"/>
    <col width="26" customWidth="1" style="58" min="2" max="2"/>
    <col width="22" customWidth="1" style="58" min="3" max="6"/>
    <col width="14" customWidth="1" style="58" min="7" max="7"/>
  </cols>
  <sheetData>
    <row r="2" ht="30" customHeight="1" s="59">
      <c r="B2" s="60" t="inlineStr">
        <is>
          <t>沖縄県恩納村エリア  ホテル競合料金調査 ／ 再構築フレームワーク</t>
        </is>
      </c>
    </row>
    <row r="3" ht="18" customHeight="1" s="59">
      <c r="B3" s="61" t="inlineStr">
        <is>
          <t>楽天トラベル週間実勢料金（対象週 × 各室タイプ）の採取 → 想定施設への再構築</t>
        </is>
      </c>
    </row>
    <row r="5" ht="17.15" customHeight="1" s="59">
      <c r="B5" s="62" t="inlineStr">
        <is>
          <t>■ 想定施設（対象物件 / Subject Property）</t>
        </is>
      </c>
    </row>
    <row r="6" ht="15" customHeight="1" s="59">
      <c r="B6" s="63" t="inlineStr">
        <is>
          <t>敷地面積</t>
        </is>
      </c>
      <c r="C6" s="64" t="inlineStr">
        <is>
          <t>1 ヘクタール（10,000 ㎡）</t>
        </is>
      </c>
    </row>
    <row r="7" ht="15" customHeight="1" s="59">
      <c r="B7" s="63" t="inlineStr">
        <is>
          <t>客室数</t>
        </is>
      </c>
      <c r="C7" s="64" t="inlineStr">
        <is>
          <t>150 室</t>
        </is>
      </c>
    </row>
    <row r="8" ht="15" customHeight="1" s="59">
      <c r="B8" s="63" t="inlineStr">
        <is>
          <t>宿泊形態</t>
        </is>
      </c>
      <c r="C8" s="65" t="inlineStr">
        <is>
          <t>ホテル客室 ＋ コンドミニアム</t>
        </is>
      </c>
    </row>
    <row r="9" ht="15" customHeight="1" s="59">
      <c r="B9" s="66" t="inlineStr">
        <is>
          <t>Spa</t>
        </is>
      </c>
      <c r="C9" s="64" t="inlineStr">
        <is>
          <t>1 施設（想定）</t>
        </is>
      </c>
    </row>
    <row r="10" ht="15" customHeight="1" s="59">
      <c r="B10" s="63" t="inlineStr">
        <is>
          <t>レストラン</t>
        </is>
      </c>
      <c r="C10" s="64" t="inlineStr">
        <is>
          <t>3 ヶ所程度</t>
        </is>
      </c>
    </row>
    <row r="11" ht="15" customHeight="1" s="59">
      <c r="B11" s="63" t="inlineStr">
        <is>
          <t>プール</t>
        </is>
      </c>
      <c r="C11" s="65" t="inlineStr">
        <is>
          <t>あり（屋外／必要に応じ屋内）</t>
        </is>
      </c>
    </row>
    <row r="12" ht="15" customHeight="1" s="59">
      <c r="B12" s="63" t="inlineStr">
        <is>
          <t>密度メモ</t>
        </is>
      </c>
      <c r="C12" s="64" t="inlineStr">
        <is>
          <t>150室/1ha は高密度。ヴィラ主体リゾートより中層・都市型リゾート寄りの与件</t>
        </is>
      </c>
    </row>
    <row r="14" ht="15" customHeight="1" s="59">
      <c r="B14" s="62" t="inlineStr">
        <is>
          <t>■ 本ブックの構成</t>
        </is>
      </c>
    </row>
    <row r="15" ht="15" customHeight="1" s="59">
      <c r="B15" s="67" t="inlineStr">
        <is>
          <t>02_競合セット</t>
        </is>
      </c>
      <c r="C15" s="65" t="inlineStr">
        <is>
          <t>恩納村エリアの実在競合ホテル（約20軒）と属性。採用理由・競合度を整理</t>
        </is>
      </c>
    </row>
    <row r="16" ht="15" customHeight="1" s="59">
      <c r="B16" s="67" t="inlineStr">
        <is>
          <t>03_料金採取テンプレ</t>
        </is>
      </c>
      <c r="C16" s="65" t="inlineStr">
        <is>
          <t>楽天トラベル実勢料金の採取シート。行=競合／列=対象週×室タイプ。黄色セルに入力</t>
        </is>
      </c>
    </row>
    <row r="17" ht="15" customHeight="1" s="59">
      <c r="B17" s="67" t="inlineStr">
        <is>
          <t>04_再構築分析</t>
        </is>
      </c>
      <c r="C17" s="65" t="inlineStr">
        <is>
          <t>採取データを室タイプ別に集計し、想定150室プロダクトを価格ポジショニング</t>
        </is>
      </c>
    </row>
    <row r="18" ht="15" customHeight="1" s="59">
      <c r="B18" s="67" t="inlineStr">
        <is>
          <t>05_採取手順・定義</t>
        </is>
      </c>
      <c r="C18" s="65" t="inlineStr">
        <is>
          <t>採取ルール（採取単位・対象週・室タイプ定義）。採取の再現性を担保</t>
        </is>
      </c>
    </row>
    <row r="20" ht="15" customHeight="1" s="59">
      <c r="B20" s="62" t="inlineStr">
        <is>
          <t>■ 重要な前提・データ取扱い注意</t>
        </is>
      </c>
    </row>
    <row r="21" ht="15" customHeight="1" s="59">
      <c r="B21" s="68" t="inlineStr">
        <is>
          <t>・ 本ブックの料金欄（黄色セル）は空欄です。楽天トラベルの実勢料金は運用者側で採取のうえ入力してください。</t>
        </is>
      </c>
    </row>
    <row r="22" ht="15" customHeight="1" s="59">
      <c r="B22" s="68" t="inlineStr">
        <is>
          <t xml:space="preserve">  （動的な空室・料金ページのため自動採取はしていません。架空値は投資判断を誤らせるため未記入としています）</t>
        </is>
      </c>
    </row>
    <row r="23" ht="15" customHeight="1" s="59">
      <c r="B23" s="68" t="inlineStr">
        <is>
          <t>・ 競合の室数・属性は公開情報ベースの整理値です。最終確定前に各社公式で要確認（「要確認」表記の項目は特に）。</t>
        </is>
      </c>
    </row>
    <row r="24" ht="25.5" customHeight="1" s="59">
      <c r="B24" s="68" t="inlineStr">
        <is>
          <t>・ 採取の一貫性（1泊2名・素泊まり・税サ込 等）は「05_採取手順・定義」に従うこと。基準が揃わないと比較が崩れます。</t>
        </is>
      </c>
    </row>
    <row r="25" ht="15" customHeight="1" s="59">
      <c r="B25" s="68" t="inlineStr">
        <is>
          <t>・ 分析シートの平均/中央値は入力に応じて自動計算されます（空欄時は「—」表示、エラーは出ません）。</t>
        </is>
      </c>
    </row>
  </sheetData>
  <mergeCells count="18">
    <mergeCell ref="B3:G3"/>
    <mergeCell ref="B2:G2"/>
    <mergeCell ref="B24:G24"/>
    <mergeCell ref="C7:G7"/>
    <mergeCell ref="C9:G9"/>
    <mergeCell ref="C12:G12"/>
    <mergeCell ref="B22:G22"/>
    <mergeCell ref="C6:G6"/>
    <mergeCell ref="C10:G10"/>
    <mergeCell ref="C16:G16"/>
    <mergeCell ref="C15:G15"/>
    <mergeCell ref="B23:G23"/>
    <mergeCell ref="C11:G11"/>
    <mergeCell ref="C17:G17"/>
    <mergeCell ref="B21:G21"/>
    <mergeCell ref="C8:G8"/>
    <mergeCell ref="C18:G18"/>
    <mergeCell ref="B25:G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8" min="1" max="1"/>
    <col width="30" customWidth="1" style="58" min="2" max="2"/>
    <col width="16" customWidth="1" style="58" min="3" max="3"/>
    <col width="12" customWidth="1" style="58" min="4" max="4"/>
    <col width="26" customWidth="1" style="58" min="5" max="5"/>
    <col width="20" customWidth="1" style="58" min="6" max="6"/>
    <col width="10" customWidth="1" style="58" min="7" max="7"/>
    <col width="26" customWidth="1" style="58" min="8" max="8"/>
  </cols>
  <sheetData>
    <row r="1" ht="15" customHeight="1" s="59">
      <c r="A1" s="69" t="inlineStr">
        <is>
          <t>恩納村エリア 競合セット（実在ホテル・公開情報ベース／確定前に要検証）</t>
        </is>
      </c>
    </row>
    <row r="2" ht="15" customHeight="1" s="59">
      <c r="A2" s="70" t="inlineStr">
        <is>
          <t>#</t>
        </is>
      </c>
      <c r="B2" s="71" t="inlineStr">
        <is>
          <t>ホテル名</t>
        </is>
      </c>
      <c r="C2" s="71" t="inlineStr">
        <is>
          <t>ティア</t>
        </is>
      </c>
      <c r="D2" s="71" t="inlineStr">
        <is>
          <t>客室数(概算)</t>
        </is>
      </c>
      <c r="E2" s="71" t="inlineStr">
        <is>
          <t>主要施設</t>
        </is>
      </c>
      <c r="F2" s="71" t="inlineStr">
        <is>
          <t>立地/ビーチ</t>
        </is>
      </c>
      <c r="G2" s="71" t="inlineStr">
        <is>
          <t>競合度</t>
        </is>
      </c>
      <c r="H2" s="71" t="inlineStr">
        <is>
          <t>備考</t>
        </is>
      </c>
    </row>
    <row r="3" ht="25.5" customHeight="1" s="59">
      <c r="A3" s="72" t="n">
        <v>1</v>
      </c>
      <c r="B3" s="73" t="inlineStr">
        <is>
          <t>ハレクラニ沖縄</t>
        </is>
      </c>
      <c r="C3" s="74" t="inlineStr">
        <is>
          <t>ラグジュアリー</t>
        </is>
      </c>
      <c r="D3" s="72" t="inlineStr">
        <is>
          <t>360</t>
        </is>
      </c>
      <c r="E3" s="75" t="inlineStr">
        <is>
          <t>全室OV・5プール・スパハレクラニ・温泉</t>
        </is>
      </c>
      <c r="F3" s="75" t="inlineStr">
        <is>
          <t>名嘉真/ビーチ</t>
        </is>
      </c>
      <c r="G3" s="74" t="inlineStr">
        <is>
          <t>直接</t>
        </is>
      </c>
      <c r="H3" s="75" t="inlineStr">
        <is>
          <t>フォーブス5つ星常連。上限ベンチ</t>
        </is>
      </c>
    </row>
    <row r="4" ht="25.5" customHeight="1" s="59">
      <c r="A4" s="76" t="n">
        <v>2</v>
      </c>
      <c r="B4" s="77" t="inlineStr">
        <is>
          <t>ハイアットリージェンシー瀬良垣アイランド沖縄</t>
        </is>
      </c>
      <c r="C4" s="78" t="inlineStr">
        <is>
          <t>アッパーアップスケール</t>
        </is>
      </c>
      <c r="D4" s="76" t="inlineStr">
        <is>
          <t>343（要確認）</t>
        </is>
      </c>
      <c r="E4" s="79" t="inlineStr">
        <is>
          <t>島立地・複数レストラン・プール・スパ</t>
        </is>
      </c>
      <c r="F4" s="79" t="inlineStr">
        <is>
          <t>瀬良垣島</t>
        </is>
      </c>
      <c r="G4" s="78" t="inlineStr">
        <is>
          <t>直接</t>
        </is>
      </c>
      <c r="H4" s="79" t="inlineStr">
        <is>
          <t>国際ブランド・大型</t>
        </is>
      </c>
    </row>
    <row r="5" ht="25.5" customHeight="1" s="59">
      <c r="A5" s="72" t="n">
        <v>3</v>
      </c>
      <c r="B5" s="80" t="inlineStr">
        <is>
          <t>ANAインターコンチネンタル万座ビーチリゾート</t>
        </is>
      </c>
      <c r="C5" s="74" t="inlineStr">
        <is>
          <t>アッパーアップスケール</t>
        </is>
      </c>
      <c r="D5" s="72" t="inlineStr">
        <is>
          <t>400（要確認）</t>
        </is>
      </c>
      <c r="E5" s="75" t="inlineStr">
        <is>
          <t>万座ビーチ・マリーナ・プール・スパ</t>
        </is>
      </c>
      <c r="F5" s="75" t="inlineStr">
        <is>
          <t>万座</t>
        </is>
      </c>
      <c r="G5" s="74" t="inlineStr">
        <is>
          <t>直接</t>
        </is>
      </c>
      <c r="H5" s="75" t="inlineStr">
        <is>
          <t>老舗大型リゾート</t>
        </is>
      </c>
    </row>
    <row r="6" ht="25.5" customHeight="1" s="59">
      <c r="A6" s="76" t="n">
        <v>4</v>
      </c>
      <c r="B6" s="77" t="inlineStr">
        <is>
          <t>シェラトン沖縄サンマリーナリゾート</t>
        </is>
      </c>
      <c r="C6" s="78" t="inlineStr">
        <is>
          <t>アップスケール</t>
        </is>
      </c>
      <c r="D6" s="76" t="inlineStr">
        <is>
          <t>300（要確認）</t>
        </is>
      </c>
      <c r="E6" s="79" t="inlineStr">
        <is>
          <t>プライベートビーチ・プール・スパ</t>
        </is>
      </c>
      <c r="F6" s="79" t="inlineStr">
        <is>
          <t>冨着</t>
        </is>
      </c>
      <c r="G6" s="78" t="inlineStr">
        <is>
          <t>直接</t>
        </is>
      </c>
      <c r="H6" s="79" t="inlineStr">
        <is>
          <t>国際ブランド</t>
        </is>
      </c>
    </row>
    <row r="7" ht="25.5" customHeight="1" s="59">
      <c r="A7" s="72" t="n">
        <v>5</v>
      </c>
      <c r="B7" s="73" t="inlineStr">
        <is>
          <t>ルネッサンス リゾート オキナワ</t>
        </is>
      </c>
      <c r="C7" s="74" t="inlineStr">
        <is>
          <t>アップスケール</t>
        </is>
      </c>
      <c r="D7" s="72" t="inlineStr">
        <is>
          <t>377（要確認）</t>
        </is>
      </c>
      <c r="E7" s="75" t="inlineStr">
        <is>
          <t>全室バルコニー・イルカ・タラソ・温泉</t>
        </is>
      </c>
      <c r="F7" s="75" t="inlineStr">
        <is>
          <t>山田/ビーチ</t>
        </is>
      </c>
      <c r="G7" s="74" t="inlineStr">
        <is>
          <t>直接</t>
        </is>
      </c>
      <c r="H7" s="75" t="inlineStr">
        <is>
          <t>ファミリー強い</t>
        </is>
      </c>
    </row>
    <row r="8" ht="25.5" customHeight="1" s="59">
      <c r="A8" s="76" t="n">
        <v>6</v>
      </c>
      <c r="B8" s="77" t="inlineStr">
        <is>
          <t>ホテルモントレ沖縄 スパ＆リゾート</t>
        </is>
      </c>
      <c r="C8" s="78" t="inlineStr">
        <is>
          <t>アップスケール</t>
        </is>
      </c>
      <c r="D8" s="76" t="inlineStr">
        <is>
          <t>339（要確認）</t>
        </is>
      </c>
      <c r="E8" s="79" t="inlineStr">
        <is>
          <t>造波プール・天然温泉・プール4ヶ所</t>
        </is>
      </c>
      <c r="F8" s="79" t="inlineStr">
        <is>
          <t>タイガービーチ</t>
        </is>
      </c>
      <c r="G8" s="78" t="inlineStr">
        <is>
          <t>直接</t>
        </is>
      </c>
      <c r="H8" s="79" t="inlineStr">
        <is>
          <t>スパ・温泉訴求</t>
        </is>
      </c>
    </row>
    <row r="9" ht="25.5" customHeight="1" s="59">
      <c r="A9" s="72" t="n">
        <v>7</v>
      </c>
      <c r="B9" s="73" t="inlineStr">
        <is>
          <t>沖縄かりゆしビーチリゾート・オーシャンスパ</t>
        </is>
      </c>
      <c r="C9" s="74" t="inlineStr">
        <is>
          <t>アップスケール</t>
        </is>
      </c>
      <c r="D9" s="72" t="inlineStr">
        <is>
          <t>516</t>
        </is>
      </c>
      <c r="E9" s="81" t="inlineStr">
        <is>
          <t>6レストラン・オーシャンスパ・プール</t>
        </is>
      </c>
      <c r="F9" s="75" t="inlineStr">
        <is>
          <t>かりゆし</t>
        </is>
      </c>
      <c r="G9" s="74" t="inlineStr">
        <is>
          <t>二次</t>
        </is>
      </c>
      <c r="H9" s="75" t="inlineStr">
        <is>
          <t>大型・多層価格</t>
        </is>
      </c>
    </row>
    <row r="10" ht="25.5" customHeight="1" s="59">
      <c r="A10" s="76" t="n">
        <v>8</v>
      </c>
      <c r="B10" s="77" t="inlineStr">
        <is>
          <t>リザンシーパークホテル谷茶ベイ</t>
        </is>
      </c>
      <c r="C10" s="78" t="inlineStr">
        <is>
          <t>ミッドスケール〜アップスケール</t>
        </is>
      </c>
      <c r="D10" s="78" t="inlineStr">
        <is>
          <t>県内最大級/約700</t>
        </is>
      </c>
      <c r="E10" s="82" t="inlineStr">
        <is>
          <t>800mビーチ・多数レストラン・プール</t>
        </is>
      </c>
      <c r="F10" s="79" t="inlineStr">
        <is>
          <t>谷茶</t>
        </is>
      </c>
      <c r="G10" s="78" t="inlineStr">
        <is>
          <t>二次</t>
        </is>
      </c>
      <c r="H10" s="79" t="inlineStr">
        <is>
          <t>規模最大・価格レンジ広</t>
        </is>
      </c>
    </row>
    <row r="11" ht="25.5" customHeight="1" s="59">
      <c r="A11" s="72" t="n">
        <v>9</v>
      </c>
      <c r="B11" s="73" t="inlineStr">
        <is>
          <t>ザ・ムーンビーチ ミュージアムリゾート</t>
        </is>
      </c>
      <c r="C11" s="74" t="inlineStr">
        <is>
          <t>アップスケール</t>
        </is>
      </c>
      <c r="D11" s="72" t="inlineStr">
        <is>
          <t>255（要確認）</t>
        </is>
      </c>
      <c r="E11" s="75" t="inlineStr">
        <is>
          <t>天然ムーンビーチ・プール・スパ</t>
        </is>
      </c>
      <c r="F11" s="75" t="inlineStr">
        <is>
          <t>前兼久</t>
        </is>
      </c>
      <c r="G11" s="74" t="inlineStr">
        <is>
          <t>直接</t>
        </is>
      </c>
      <c r="H11" s="81" t="inlineStr">
        <is>
          <t>1975開業・改装継続</t>
        </is>
      </c>
    </row>
    <row r="12" ht="25.5" customHeight="1" s="59">
      <c r="A12" s="76" t="n">
        <v>10</v>
      </c>
      <c r="B12" s="77" t="inlineStr">
        <is>
          <t>カフーリゾートフチャクコンド・ホテル</t>
        </is>
      </c>
      <c r="C12" s="78" t="inlineStr">
        <is>
          <t>アップスケール(コンド型)</t>
        </is>
      </c>
      <c r="D12" s="76" t="inlineStr">
        <is>
          <t>333（要確認）</t>
        </is>
      </c>
      <c r="E12" s="79" t="inlineStr">
        <is>
          <t>ホテル/コンド/アネックス3棟・プール</t>
        </is>
      </c>
      <c r="F12" s="79" t="inlineStr">
        <is>
          <t>冨着/ビーチ</t>
        </is>
      </c>
      <c r="G12" s="83" t="inlineStr">
        <is>
          <t>直接★</t>
        </is>
      </c>
      <c r="H12" s="79" t="inlineStr">
        <is>
          <t>コンド併設＝本件と近い</t>
        </is>
      </c>
    </row>
    <row r="13" ht="25.5" customHeight="1" s="59">
      <c r="A13" s="72" t="n">
        <v>11</v>
      </c>
      <c r="B13" s="80" t="inlineStr">
        <is>
          <t>OKINAWA KARIYUSHI RESORT EXES ONNA</t>
        </is>
      </c>
      <c r="C13" s="74" t="inlineStr">
        <is>
          <t>ラグジュアリー</t>
        </is>
      </c>
      <c r="D13" s="72" t="inlineStr">
        <is>
          <t>90</t>
        </is>
      </c>
      <c r="E13" s="75" t="inlineStr">
        <is>
          <t>全室59㎡+・スパ・高台OV・専用プール室</t>
        </is>
      </c>
      <c r="F13" s="75" t="inlineStr">
        <is>
          <t>名嘉真/高台</t>
        </is>
      </c>
      <c r="G13" s="74" t="inlineStr">
        <is>
          <t>直接</t>
        </is>
      </c>
      <c r="H13" s="75" t="inlineStr">
        <is>
          <t>スパリゾート・受賞多数</t>
        </is>
      </c>
    </row>
    <row r="14" ht="25.5" customHeight="1" s="59">
      <c r="A14" s="76" t="n">
        <v>12</v>
      </c>
      <c r="B14" s="84" t="inlineStr">
        <is>
          <t>HIYORIオーシャンリゾート沖縄</t>
        </is>
      </c>
      <c r="C14" s="78" t="inlineStr">
        <is>
          <t>アッパーアップスケール</t>
        </is>
      </c>
      <c r="D14" s="76" t="inlineStr">
        <is>
          <t>191（要確認）</t>
        </is>
      </c>
      <c r="E14" s="79" t="inlineStr">
        <is>
          <t>全室スイート・ワイドテラス・プール</t>
        </is>
      </c>
      <c r="F14" s="79" t="inlineStr">
        <is>
          <t>前兼久</t>
        </is>
      </c>
      <c r="G14" s="78" t="inlineStr">
        <is>
          <t>直接</t>
        </is>
      </c>
      <c r="H14" s="82" t="inlineStr">
        <is>
          <t>2021開業・新しめ</t>
        </is>
      </c>
    </row>
    <row r="15" ht="25.5" customHeight="1" s="59">
      <c r="A15" s="72" t="n">
        <v>13</v>
      </c>
      <c r="B15" s="73" t="inlineStr">
        <is>
          <t>アクアセンス ホテル &amp; リゾート</t>
        </is>
      </c>
      <c r="C15" s="74" t="inlineStr">
        <is>
          <t>アッパーアップスケール</t>
        </is>
      </c>
      <c r="D15" s="72" t="inlineStr">
        <is>
          <t>95（要確認）</t>
        </is>
      </c>
      <c r="E15" s="75" t="inlineStr">
        <is>
          <t>マリーナ・屋内外プール・大浴場</t>
        </is>
      </c>
      <c r="F15" s="75" t="inlineStr">
        <is>
          <t>山田</t>
        </is>
      </c>
      <c r="G15" s="74" t="inlineStr">
        <is>
          <t>直接</t>
        </is>
      </c>
      <c r="H15" s="75" t="inlineStr">
        <is>
          <t>滞在型・アクティビティ</t>
        </is>
      </c>
    </row>
    <row r="16" ht="25.5" customHeight="1" s="59">
      <c r="A16" s="76" t="n">
        <v>14</v>
      </c>
      <c r="B16" s="84" t="inlineStr">
        <is>
          <t>UMITO PLAGE The Atta Okinawa</t>
        </is>
      </c>
      <c r="C16" s="78" t="inlineStr">
        <is>
          <t>ラグジュアリー</t>
        </is>
      </c>
      <c r="D16" s="76" t="inlineStr">
        <is>
          <t>57（要確認）</t>
        </is>
      </c>
      <c r="E16" s="79" t="inlineStr">
        <is>
          <t>静穏・スパ・プール・上質ダイニング</t>
        </is>
      </c>
      <c r="F16" s="79" t="inlineStr">
        <is>
          <t>熱田</t>
        </is>
      </c>
      <c r="G16" s="78" t="inlineStr">
        <is>
          <t>直接</t>
        </is>
      </c>
      <c r="H16" s="79" t="inlineStr">
        <is>
          <t>小規模ラグジュアリー</t>
        </is>
      </c>
    </row>
    <row r="17" ht="25.5" customHeight="1" s="59">
      <c r="A17" s="72" t="n">
        <v>15</v>
      </c>
      <c r="B17" s="73" t="inlineStr">
        <is>
          <t>ジ・アッタテラス クラブタワーズ</t>
        </is>
      </c>
      <c r="C17" s="74" t="inlineStr">
        <is>
          <t>ラグジュアリー</t>
        </is>
      </c>
      <c r="D17" s="72" t="inlineStr">
        <is>
          <t>91（要確認）</t>
        </is>
      </c>
      <c r="E17" s="75" t="inlineStr">
        <is>
          <t>丘上・スパ・プール・大人向け</t>
        </is>
      </c>
      <c r="F17" s="75" t="inlineStr">
        <is>
          <t>熱田</t>
        </is>
      </c>
      <c r="G17" s="74" t="inlineStr">
        <is>
          <t>直接</t>
        </is>
      </c>
      <c r="H17" s="75" t="inlineStr">
        <is>
          <t>静穏・ハイエンド</t>
        </is>
      </c>
    </row>
    <row r="18" ht="25.5" customHeight="1" s="59">
      <c r="A18" s="76" t="n">
        <v>16</v>
      </c>
      <c r="B18" s="77" t="inlineStr">
        <is>
          <t>星野リゾート BEB5 沖縄瀬良垣</t>
        </is>
      </c>
      <c r="C18" s="78" t="inlineStr">
        <is>
          <t>ミッドスケール(新世代)</t>
        </is>
      </c>
      <c r="D18" s="76" t="inlineStr">
        <is>
          <t>105（要確認）</t>
        </is>
      </c>
      <c r="E18" s="79" t="inlineStr">
        <is>
          <t>カジュアル・気軽さ訴求</t>
        </is>
      </c>
      <c r="F18" s="79" t="inlineStr">
        <is>
          <t>瀬良垣</t>
        </is>
      </c>
      <c r="G18" s="78" t="inlineStr">
        <is>
          <t>二次</t>
        </is>
      </c>
      <c r="H18" s="79" t="inlineStr">
        <is>
          <t>若年層・価格下限側</t>
        </is>
      </c>
    </row>
    <row r="19" ht="25.5" customHeight="1" s="59">
      <c r="A19" s="72" t="n">
        <v>17</v>
      </c>
      <c r="B19" s="73" t="inlineStr">
        <is>
          <t>ザ・ペリドット スマートホテル タンチャワード</t>
        </is>
      </c>
      <c r="C19" s="74" t="inlineStr">
        <is>
          <t>ミッドスケール</t>
        </is>
      </c>
      <c r="D19" s="74" t="inlineStr">
        <is>
          <t>（要確認）</t>
        </is>
      </c>
      <c r="E19" s="75" t="inlineStr">
        <is>
          <t>スマートホテル・プール</t>
        </is>
      </c>
      <c r="F19" s="75" t="inlineStr">
        <is>
          <t>谷茶</t>
        </is>
      </c>
      <c r="G19" s="74" t="inlineStr">
        <is>
          <t>二次</t>
        </is>
      </c>
      <c r="H19" s="75" t="inlineStr">
        <is>
          <t>効率運営型</t>
        </is>
      </c>
    </row>
    <row r="20" ht="25.5" customHeight="1" s="59">
      <c r="A20" s="76" t="n">
        <v>18</v>
      </c>
      <c r="B20" s="77" t="inlineStr">
        <is>
          <t>ザ・プールリゾート沖縄</t>
        </is>
      </c>
      <c r="C20" s="78" t="inlineStr">
        <is>
          <t>ミッドスケール(コンド型)</t>
        </is>
      </c>
      <c r="D20" s="78" t="inlineStr">
        <is>
          <t>（要確認）</t>
        </is>
      </c>
      <c r="E20" s="79" t="inlineStr">
        <is>
          <t>全室プール系・コンド型</t>
        </is>
      </c>
      <c r="F20" s="79" t="inlineStr">
        <is>
          <t>恩納中心部</t>
        </is>
      </c>
      <c r="G20" s="78" t="inlineStr">
        <is>
          <t>二次</t>
        </is>
      </c>
      <c r="H20" s="79" t="inlineStr">
        <is>
          <t>コンド比較用</t>
        </is>
      </c>
    </row>
    <row r="21" ht="25.5" customHeight="1" s="59">
      <c r="A21" s="72" t="n">
        <v>19</v>
      </c>
      <c r="B21" s="73" t="inlineStr">
        <is>
          <t>ベストウェスタン沖縄恩納ビーチ</t>
        </is>
      </c>
      <c r="C21" s="74" t="inlineStr">
        <is>
          <t>ミッドスケール</t>
        </is>
      </c>
      <c r="D21" s="74" t="inlineStr">
        <is>
          <t>（要確認）</t>
        </is>
      </c>
      <c r="E21" s="75" t="inlineStr">
        <is>
          <t>ビーチアクセス・プール</t>
        </is>
      </c>
      <c r="F21" s="75" t="inlineStr">
        <is>
          <t>恩納</t>
        </is>
      </c>
      <c r="G21" s="74" t="inlineStr">
        <is>
          <t>二次</t>
        </is>
      </c>
      <c r="H21" s="75" t="inlineStr">
        <is>
          <t>チェーン・下限側</t>
        </is>
      </c>
    </row>
    <row r="22" ht="25.5" customHeight="1" s="59">
      <c r="A22" s="76" t="n">
        <v>20</v>
      </c>
      <c r="B22" s="77" t="inlineStr">
        <is>
          <t>オリエンタルヒルズ沖縄</t>
        </is>
      </c>
      <c r="C22" s="78" t="inlineStr">
        <is>
          <t>ウルトララグジュアリー</t>
        </is>
      </c>
      <c r="D22" s="76" t="inlineStr">
        <is>
          <t>14(ヴィラ)</t>
        </is>
      </c>
      <c r="E22" s="79" t="inlineStr">
        <is>
          <t>全室スイート/専用プール・2万㎡</t>
        </is>
      </c>
      <c r="F22" s="79" t="inlineStr">
        <is>
          <t>名嘉真/高台</t>
        </is>
      </c>
      <c r="G22" s="78" t="inlineStr">
        <is>
          <t>参考上限</t>
        </is>
      </c>
      <c r="H22" s="79" t="inlineStr">
        <is>
          <t>超高単価・別セグメント参考</t>
        </is>
      </c>
    </row>
    <row r="23" ht="25.5" customHeight="1" s="59">
      <c r="A23" s="72" t="n">
        <v>21</v>
      </c>
      <c r="B23" s="80" t="inlineStr">
        <is>
          <t>（予備枠：20軒調整用）</t>
        </is>
      </c>
      <c r="C23" s="72" t="inlineStr">
        <is>
          <t>—</t>
        </is>
      </c>
      <c r="D23" s="72" t="inlineStr">
        <is>
          <t>—</t>
        </is>
      </c>
      <c r="E23" s="81" t="inlineStr">
        <is>
          <t>—</t>
        </is>
      </c>
      <c r="F23" s="81" t="inlineStr">
        <is>
          <t>—</t>
        </is>
      </c>
      <c r="G23" s="74" t="inlineStr">
        <is>
          <t>予備</t>
        </is>
      </c>
      <c r="H23" s="81" t="inlineStr">
        <is>
          <t>20軒調整用の予備行</t>
        </is>
      </c>
    </row>
    <row r="25" ht="15" customHeight="1" s="59">
      <c r="B25" s="85" t="inlineStr">
        <is>
          <t>★＝コンドミニアム併設で本件（コンド併設150室）と特に構成が近い。「客室数(概算)」は公開情報からの整理値で、要確認表記は各社公式で確定のこと。</t>
        </is>
      </c>
    </row>
  </sheetData>
  <mergeCells count="2">
    <mergeCell ref="A1:H1"/>
    <mergeCell ref="B25:H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29"/>
  <sheetViews>
    <sheetView showFormulas="0" showGridLines="0" showRowColHeaders="1" showZeros="1" rightToLeft="0" tabSelected="0" showOutlineSymbols="1" defaultGridColor="1"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baseColWidth="8" defaultColWidth="8.6796875" defaultRowHeight="15" zeroHeight="0" outlineLevelRow="0"/>
  <cols>
    <col width="4" customWidth="1" style="58" min="1" max="1"/>
    <col width="30" customWidth="1" style="58" min="2" max="2"/>
    <col width="12" customWidth="1" style="58" min="3" max="14"/>
    <col width="55" customWidth="1" style="59" min="15" max="15"/>
  </cols>
  <sheetData>
    <row r="1" ht="17.15" customHeight="1" s="59">
      <c r="A1" s="69" t="inlineStr">
        <is>
          <t>楽天トラベル 実勢料金 採取シート（1泊2名・素泊まり・税サ込 基準／単位:円）</t>
        </is>
      </c>
    </row>
    <row r="2" ht="14.15" customHeight="1" s="59">
      <c r="A2" s="86" t="inlineStr">
        <is>
          <t>黄色セルに採取値を入力 ／ 対象週の実日付は下の行に記入 ／ 各室タイプの定義は「05_採取手順・定義」参照</t>
        </is>
      </c>
    </row>
    <row r="4" ht="15" customHeight="1" s="59">
      <c r="A4" s="87" t="inlineStr">
        <is>
          <t>#</t>
        </is>
      </c>
      <c r="B4" s="88" t="inlineStr">
        <is>
          <t>ホテル名</t>
        </is>
      </c>
      <c r="C4" s="89" t="inlineStr">
        <is>
          <t>W1 ピーク週</t>
        </is>
      </c>
      <c r="D4" s="90" t="n"/>
      <c r="E4" s="90" t="n"/>
      <c r="F4" s="90" t="n"/>
      <c r="G4" s="91" t="inlineStr">
        <is>
          <t>W2 ショルダー週</t>
        </is>
      </c>
      <c r="H4" s="90" t="n"/>
      <c r="I4" s="90" t="n"/>
      <c r="J4" s="90" t="n"/>
      <c r="K4" s="92" t="inlineStr">
        <is>
          <t>W3 オフ週</t>
        </is>
      </c>
      <c r="L4" s="90" t="n"/>
      <c r="M4" s="90" t="n"/>
      <c r="N4" s="90" t="n"/>
      <c r="O4" s="118" t="inlineStr">
        <is>
          <t>楽天トラベルURL</t>
        </is>
      </c>
    </row>
    <row r="5" ht="15" customHeight="1" s="59">
      <c r="C5" s="93" t="inlineStr">
        <is>
          <t>T1</t>
        </is>
      </c>
      <c r="D5" s="93" t="inlineStr">
        <is>
          <t>T2</t>
        </is>
      </c>
      <c r="E5" s="93" t="inlineStr">
        <is>
          <t>T3</t>
        </is>
      </c>
      <c r="F5" s="93" t="inlineStr">
        <is>
          <t>T4</t>
        </is>
      </c>
      <c r="G5" s="93" t="inlineStr">
        <is>
          <t>T1</t>
        </is>
      </c>
      <c r="H5" s="93" t="inlineStr">
        <is>
          <t>T2</t>
        </is>
      </c>
      <c r="I5" s="93" t="inlineStr">
        <is>
          <t>T3</t>
        </is>
      </c>
      <c r="J5" s="93" t="inlineStr">
        <is>
          <t>T4</t>
        </is>
      </c>
      <c r="K5" s="93" t="inlineStr">
        <is>
          <t>T1</t>
        </is>
      </c>
      <c r="L5" s="93" t="inlineStr">
        <is>
          <t>T2</t>
        </is>
      </c>
      <c r="M5" s="93" t="inlineStr">
        <is>
          <t>T3</t>
        </is>
      </c>
      <c r="N5" s="93" t="inlineStr">
        <is>
          <t>T4</t>
        </is>
      </c>
    </row>
    <row r="6" ht="15" customHeight="1" s="59">
      <c r="B6" s="94" t="inlineStr">
        <is>
          <t>対象週の実日付→</t>
        </is>
      </c>
      <c r="C6" s="95" t="inlineStr">
        <is>
          <t>例:8/12〜</t>
        </is>
      </c>
      <c r="D6" s="90" t="n"/>
      <c r="E6" s="90" t="n"/>
      <c r="F6" s="90" t="n"/>
      <c r="G6" s="95" t="inlineStr">
        <is>
          <t>例:8/12〜</t>
        </is>
      </c>
      <c r="H6" s="90" t="n"/>
      <c r="I6" s="90" t="n"/>
      <c r="J6" s="90" t="n"/>
      <c r="K6" s="95" t="inlineStr">
        <is>
          <t>例:8/12〜</t>
        </is>
      </c>
      <c r="L6" s="90" t="n"/>
      <c r="M6" s="90" t="n"/>
      <c r="N6" s="90" t="n"/>
    </row>
    <row r="7" ht="18" customHeight="1" s="59">
      <c r="A7" s="96" t="n">
        <v>1</v>
      </c>
      <c r="B7" s="97" t="inlineStr">
        <is>
          <t>ハレクラニ沖縄</t>
        </is>
      </c>
      <c r="C7" s="98" t="n"/>
      <c r="D7" s="98" t="n"/>
      <c r="E7" s="98" t="n"/>
      <c r="F7" s="98" t="n"/>
      <c r="G7" s="98" t="n"/>
      <c r="H7" s="98" t="n"/>
      <c r="I7" s="98" t="n"/>
      <c r="J7" s="98" t="n"/>
      <c r="K7" s="98" t="n"/>
      <c r="L7" s="98" t="n"/>
      <c r="M7" s="98" t="n"/>
      <c r="N7" s="98" t="n"/>
      <c r="O7" s="119" t="inlineStr">
        <is>
          <t>https://travel.rakuten.co.jp/HOTEL/172611/172611.html</t>
        </is>
      </c>
    </row>
    <row r="8" ht="18" customHeight="1" s="59">
      <c r="A8" s="96" t="n">
        <v>2</v>
      </c>
      <c r="B8" s="99" t="inlineStr">
        <is>
          <t>ハイアットリージェンシー瀬良垣アイランド沖縄</t>
        </is>
      </c>
      <c r="C8" s="98" t="n"/>
      <c r="D8" s="98" t="n"/>
      <c r="E8" s="98" t="n"/>
      <c r="F8" s="98" t="n"/>
      <c r="G8" s="98" t="n"/>
      <c r="H8" s="98" t="n"/>
      <c r="I8" s="98" t="n"/>
      <c r="J8" s="98" t="n"/>
      <c r="K8" s="98" t="n"/>
      <c r="L8" s="98" t="n"/>
      <c r="M8" s="98" t="n"/>
      <c r="N8" s="98" t="n"/>
      <c r="O8" s="119" t="inlineStr">
        <is>
          <t>https://travel.rakuten.co.jp/HOTEL/166320/166320.html</t>
        </is>
      </c>
    </row>
    <row r="9" ht="18" customHeight="1" s="59">
      <c r="A9" s="96" t="n">
        <v>3</v>
      </c>
      <c r="B9" s="100" t="inlineStr">
        <is>
          <t>ANAインターコンチネンタル万座ビーチリゾート</t>
        </is>
      </c>
      <c r="C9" s="98" t="n"/>
      <c r="D9" s="98" t="n"/>
      <c r="E9" s="98" t="n"/>
      <c r="F9" s="98" t="n"/>
      <c r="G9" s="98" t="n"/>
      <c r="H9" s="98" t="n"/>
      <c r="I9" s="98" t="n"/>
      <c r="J9" s="98" t="n"/>
      <c r="K9" s="98" t="n"/>
      <c r="L9" s="98" t="n"/>
      <c r="M9" s="98" t="n"/>
      <c r="N9" s="98" t="n"/>
      <c r="O9" s="119" t="inlineStr">
        <is>
          <t>https://travel.rakuten.co.jp/HOTEL/16123/16123.html</t>
        </is>
      </c>
    </row>
    <row r="10" ht="18" customHeight="1" s="59">
      <c r="A10" s="96" t="n">
        <v>4</v>
      </c>
      <c r="B10" s="99" t="inlineStr">
        <is>
          <t>シェラトン沖縄サンマリーナリゾート</t>
        </is>
      </c>
      <c r="C10" s="98" t="n"/>
      <c r="D10" s="98" t="n"/>
      <c r="E10" s="98" t="n"/>
      <c r="F10" s="98" t="n"/>
      <c r="G10" s="98" t="n"/>
      <c r="H10" s="98" t="n"/>
      <c r="I10" s="98" t="n"/>
      <c r="J10" s="98" t="n"/>
      <c r="K10" s="98" t="n"/>
      <c r="L10" s="98" t="n"/>
      <c r="M10" s="98" t="n"/>
      <c r="N10" s="98" t="n"/>
      <c r="O10" s="119" t="inlineStr">
        <is>
          <t>https://travel.rakuten.co.jp/HOTEL/13554/13554.html</t>
        </is>
      </c>
    </row>
    <row r="11" ht="18" customHeight="1" s="59">
      <c r="A11" s="96" t="n">
        <v>5</v>
      </c>
      <c r="B11" s="97" t="inlineStr">
        <is>
          <t>ルネッサンス リゾート オキナワ</t>
        </is>
      </c>
      <c r="C11" s="98" t="n"/>
      <c r="D11" s="98" t="n"/>
      <c r="E11" s="98" t="n"/>
      <c r="F11" s="98" t="n"/>
      <c r="G11" s="98" t="n"/>
      <c r="H11" s="98" t="n"/>
      <c r="I11" s="98" t="n"/>
      <c r="J11" s="98" t="n"/>
      <c r="K11" s="98" t="n"/>
      <c r="L11" s="98" t="n"/>
      <c r="M11" s="98" t="n"/>
      <c r="N11" s="98" t="n"/>
      <c r="O11" s="119" t="inlineStr">
        <is>
          <t>https://travel.rakuten.co.jp/HOTEL/54315/54315.html</t>
        </is>
      </c>
    </row>
    <row r="12" ht="18" customHeight="1" s="59">
      <c r="A12" s="96" t="n">
        <v>6</v>
      </c>
      <c r="B12" s="99" t="inlineStr">
        <is>
          <t>ホテルモントレ沖縄 スパ＆リゾート</t>
        </is>
      </c>
      <c r="C12" s="98" t="n"/>
      <c r="D12" s="98" t="n"/>
      <c r="E12" s="98" t="n"/>
      <c r="F12" s="98" t="n"/>
      <c r="G12" s="98" t="n"/>
      <c r="H12" s="98" t="n"/>
      <c r="I12" s="98" t="n"/>
      <c r="J12" s="98" t="n"/>
      <c r="K12" s="98" t="n"/>
      <c r="L12" s="98" t="n"/>
      <c r="M12" s="98" t="n"/>
      <c r="N12" s="98" t="n"/>
      <c r="O12" s="119" t="inlineStr">
        <is>
          <t>https://travel.rakuten.co.jp/HOTEL/141596/141596.html</t>
        </is>
      </c>
    </row>
    <row r="13" ht="18" customHeight="1" s="59">
      <c r="A13" s="96" t="n">
        <v>7</v>
      </c>
      <c r="B13" s="97" t="inlineStr">
        <is>
          <t>沖縄かりゆしビーチリゾート・オーシャンスパ</t>
        </is>
      </c>
      <c r="C13" s="98" t="n"/>
      <c r="D13" s="98" t="n"/>
      <c r="E13" s="98" t="n"/>
      <c r="F13" s="98" t="n"/>
      <c r="G13" s="98" t="n"/>
      <c r="H13" s="98" t="n"/>
      <c r="I13" s="98" t="n"/>
      <c r="J13" s="98" t="n"/>
      <c r="K13" s="98" t="n"/>
      <c r="L13" s="98" t="n"/>
      <c r="M13" s="98" t="n"/>
      <c r="N13" s="98" t="n"/>
      <c r="O13" s="119" t="inlineStr">
        <is>
          <t>https://travel.rakuten.co.jp/HOTEL/14275/14275.html</t>
        </is>
      </c>
    </row>
    <row r="14" ht="18" customHeight="1" s="59">
      <c r="A14" s="96" t="n">
        <v>8</v>
      </c>
      <c r="B14" s="99" t="inlineStr">
        <is>
          <t>リザンシーパークホテル谷茶ベイ</t>
        </is>
      </c>
      <c r="C14" s="98" t="n"/>
      <c r="D14" s="98" t="n"/>
      <c r="E14" s="98" t="n"/>
      <c r="F14" s="98" t="n"/>
      <c r="G14" s="98" t="n"/>
      <c r="H14" s="98" t="n"/>
      <c r="I14" s="98" t="n"/>
      <c r="J14" s="98" t="n"/>
      <c r="K14" s="98" t="n"/>
      <c r="L14" s="98" t="n"/>
      <c r="M14" s="98" t="n"/>
      <c r="N14" s="98" t="n"/>
      <c r="O14" s="119" t="inlineStr">
        <is>
          <t>https://travel.rakuten.co.jp/HOTEL/52229/52229.html</t>
        </is>
      </c>
    </row>
    <row r="15" ht="18" customHeight="1" s="59">
      <c r="A15" s="96" t="n">
        <v>9</v>
      </c>
      <c r="B15" s="97" t="inlineStr">
        <is>
          <t>ザ・ムーンビーチ ミュージアムリゾート</t>
        </is>
      </c>
      <c r="C15" s="98" t="n"/>
      <c r="D15" s="98" t="n"/>
      <c r="E15" s="98" t="n"/>
      <c r="F15" s="98" t="n"/>
      <c r="G15" s="98" t="n"/>
      <c r="H15" s="98" t="n"/>
      <c r="I15" s="98" t="n"/>
      <c r="J15" s="98" t="n"/>
      <c r="K15" s="98" t="n"/>
      <c r="L15" s="98" t="n"/>
      <c r="M15" s="98" t="n"/>
      <c r="N15" s="98" t="n"/>
      <c r="O15" s="119" t="inlineStr">
        <is>
          <t>https://travel.rakuten.co.jp/HOTEL/15483/15483.html</t>
        </is>
      </c>
    </row>
    <row r="16" ht="18" customHeight="1" s="59">
      <c r="A16" s="96" t="n">
        <v>10</v>
      </c>
      <c r="B16" s="99" t="inlineStr">
        <is>
          <t>カフーリゾートフチャクコンド・ホテル</t>
        </is>
      </c>
      <c r="C16" s="98" t="n"/>
      <c r="D16" s="98" t="n"/>
      <c r="E16" s="98" t="n"/>
      <c r="F16" s="98" t="n"/>
      <c r="G16" s="98" t="n"/>
      <c r="H16" s="98" t="n"/>
      <c r="I16" s="98" t="n"/>
      <c r="J16" s="98" t="n"/>
      <c r="K16" s="98" t="n"/>
      <c r="L16" s="98" t="n"/>
      <c r="M16" s="98" t="n"/>
      <c r="N16" s="98" t="n"/>
      <c r="O16" s="119" t="inlineStr">
        <is>
          <t>https://travel.rakuten.co.jp/HOTEL/78239/78239.html</t>
        </is>
      </c>
    </row>
    <row r="17" ht="18" customHeight="1" s="59">
      <c r="A17" s="96" t="n">
        <v>11</v>
      </c>
      <c r="B17" s="100" t="inlineStr">
        <is>
          <t>OKINAWA KARIYUSHI RESORT EXES ONNA</t>
        </is>
      </c>
      <c r="C17" s="98" t="n"/>
      <c r="D17" s="98" t="n"/>
      <c r="E17" s="98" t="n"/>
      <c r="F17" s="98" t="n"/>
      <c r="G17" s="98" t="n"/>
      <c r="H17" s="98" t="n"/>
      <c r="I17" s="98" t="n"/>
      <c r="J17" s="98" t="n"/>
      <c r="K17" s="98" t="n"/>
      <c r="L17" s="98" t="n"/>
      <c r="M17" s="98" t="n"/>
      <c r="N17" s="98" t="n"/>
      <c r="O17" s="119" t="inlineStr">
        <is>
          <t>https://travel.rakuten.co.jp/HOTEL/70318/70318.html</t>
        </is>
      </c>
    </row>
    <row r="18" ht="18" customHeight="1" s="59">
      <c r="A18" s="96" t="n">
        <v>12</v>
      </c>
      <c r="B18" s="101" t="inlineStr">
        <is>
          <t>HIYORIオーシャンリゾート沖縄</t>
        </is>
      </c>
      <c r="C18" s="98" t="n"/>
      <c r="D18" s="98" t="n"/>
      <c r="E18" s="98" t="n"/>
      <c r="F18" s="98" t="n"/>
      <c r="G18" s="98" t="n"/>
      <c r="H18" s="98" t="n"/>
      <c r="I18" s="98" t="n"/>
      <c r="J18" s="98" t="n"/>
      <c r="K18" s="98" t="n"/>
      <c r="L18" s="98" t="n"/>
      <c r="M18" s="98" t="n"/>
      <c r="N18" s="98" t="n"/>
      <c r="O18" s="119" t="inlineStr">
        <is>
          <t>https://travel.rakuten.co.jp/HOTEL/180687/180687.html</t>
        </is>
      </c>
    </row>
    <row r="19" ht="18" customHeight="1" s="59">
      <c r="A19" s="96" t="n">
        <v>13</v>
      </c>
      <c r="B19" s="97" t="inlineStr">
        <is>
          <t>アクアセンス ホテル &amp; リゾート</t>
        </is>
      </c>
      <c r="C19" s="98" t="n"/>
      <c r="D19" s="98" t="n"/>
      <c r="E19" s="98" t="n"/>
      <c r="F19" s="98" t="n"/>
      <c r="G19" s="98" t="n"/>
      <c r="H19" s="98" t="n"/>
      <c r="I19" s="98" t="n"/>
      <c r="J19" s="98" t="n"/>
      <c r="K19" s="98" t="n"/>
      <c r="L19" s="98" t="n"/>
      <c r="M19" s="98" t="n"/>
      <c r="N19" s="98" t="n"/>
      <c r="O19" s="119" t="inlineStr">
        <is>
          <t>https://travel.rakuten.co.jp/HOTEL/183576/183576.html</t>
        </is>
      </c>
    </row>
    <row r="20" ht="18" customHeight="1" s="59">
      <c r="A20" s="96" t="n">
        <v>14</v>
      </c>
      <c r="B20" s="101" t="inlineStr">
        <is>
          <t>UMITO PLAGE The Atta Okinawa</t>
        </is>
      </c>
      <c r="C20" s="98" t="n"/>
      <c r="D20" s="98" t="n"/>
      <c r="E20" s="98" t="n"/>
      <c r="F20" s="98" t="n"/>
      <c r="G20" s="98" t="n"/>
      <c r="H20" s="98" t="n"/>
      <c r="I20" s="98" t="n"/>
      <c r="J20" s="98" t="n"/>
      <c r="K20" s="98" t="n"/>
      <c r="L20" s="98" t="n"/>
      <c r="M20" s="98" t="n"/>
      <c r="N20" s="98" t="n"/>
      <c r="O20" s="119" t="inlineStr">
        <is>
          <t>https://travel.rakuten.co.jp/HOTEL/179815/179815.html</t>
        </is>
      </c>
    </row>
    <row r="21" ht="18" customHeight="1" s="59">
      <c r="A21" s="96" t="n">
        <v>15</v>
      </c>
      <c r="B21" s="97" t="inlineStr">
        <is>
          <t>ジ・アッタテラス クラブタワーズ</t>
        </is>
      </c>
      <c r="C21" s="98" t="n"/>
      <c r="D21" s="98" t="n"/>
      <c r="E21" s="98" t="n"/>
      <c r="F21" s="98" t="n"/>
      <c r="G21" s="98" t="n"/>
      <c r="H21" s="98" t="n"/>
      <c r="I21" s="98" t="n"/>
      <c r="J21" s="98" t="n"/>
      <c r="K21" s="98" t="n"/>
      <c r="L21" s="98" t="n"/>
      <c r="M21" s="98" t="n"/>
      <c r="N21" s="98" t="n"/>
      <c r="O21" s="119" t="inlineStr">
        <is>
          <t>https://travel.rakuten.co.jp/HOTEL/104679/104679.html</t>
        </is>
      </c>
    </row>
    <row r="22" ht="18" customHeight="1" s="59">
      <c r="A22" s="96" t="n">
        <v>16</v>
      </c>
      <c r="B22" s="99" t="inlineStr">
        <is>
          <t>星野リゾート BEB5 沖縄瀬良垣</t>
        </is>
      </c>
      <c r="C22" s="98" t="n"/>
      <c r="D22" s="98" t="n"/>
      <c r="E22" s="98" t="n"/>
      <c r="F22" s="98" t="n"/>
      <c r="G22" s="98" t="n"/>
      <c r="H22" s="98" t="n"/>
      <c r="I22" s="98" t="n"/>
      <c r="J22" s="98" t="n"/>
      <c r="K22" s="98" t="n"/>
      <c r="L22" s="98" t="n"/>
      <c r="M22" s="98" t="n"/>
      <c r="N22" s="98" t="n"/>
      <c r="O22" s="119" t="inlineStr">
        <is>
          <t>https://travel.rakuten.co.jp/HOTEL/184015/184015.html</t>
        </is>
      </c>
    </row>
    <row r="23" ht="18" customHeight="1" s="59">
      <c r="A23" s="96" t="n">
        <v>17</v>
      </c>
      <c r="B23" s="97" t="inlineStr">
        <is>
          <t>ザ・ペリドット スマートホテル タンチャワード</t>
        </is>
      </c>
      <c r="C23" s="98" t="n"/>
      <c r="D23" s="98" t="n"/>
      <c r="E23" s="98" t="n"/>
      <c r="F23" s="98" t="n"/>
      <c r="G23" s="98" t="n"/>
      <c r="H23" s="98" t="n"/>
      <c r="I23" s="98" t="n"/>
      <c r="J23" s="98" t="n"/>
      <c r="K23" s="98" t="n"/>
      <c r="L23" s="98" t="n"/>
      <c r="M23" s="98" t="n"/>
      <c r="N23" s="98" t="n"/>
      <c r="O23" s="119" t="inlineStr">
        <is>
          <t>https://travel.rakuten.co.jp/HOTEL/158440/158440.html</t>
        </is>
      </c>
    </row>
    <row r="24" ht="18" customHeight="1" s="59">
      <c r="A24" s="96" t="n">
        <v>18</v>
      </c>
      <c r="B24" s="99" t="inlineStr">
        <is>
          <t>ザ・プールリゾート沖縄</t>
        </is>
      </c>
      <c r="C24" s="98" t="n"/>
      <c r="D24" s="98" t="n"/>
      <c r="E24" s="98" t="n"/>
      <c r="F24" s="98" t="n"/>
      <c r="G24" s="98" t="n"/>
      <c r="H24" s="98" t="n"/>
      <c r="I24" s="98" t="n"/>
      <c r="J24" s="98" t="n"/>
      <c r="K24" s="98" t="n"/>
      <c r="L24" s="98" t="n"/>
      <c r="M24" s="98" t="n"/>
      <c r="N24" s="98" t="n"/>
      <c r="O24" s="119" t="inlineStr">
        <is>
          <t>https://travel.rakuten.co.jp/HOTEL/164539/164539.html</t>
        </is>
      </c>
    </row>
    <row r="25" ht="18" customHeight="1" s="59">
      <c r="A25" s="96" t="n">
        <v>19</v>
      </c>
      <c r="B25" s="97" t="inlineStr">
        <is>
          <t>ベストウェスタン沖縄恩納ビーチ</t>
        </is>
      </c>
      <c r="C25" s="98" t="n"/>
      <c r="D25" s="98" t="n"/>
      <c r="E25" s="98" t="n"/>
      <c r="F25" s="98" t="n"/>
      <c r="G25" s="98" t="n"/>
      <c r="H25" s="98" t="n"/>
      <c r="I25" s="98" t="n"/>
      <c r="J25" s="98" t="n"/>
      <c r="K25" s="98" t="n"/>
      <c r="L25" s="98" t="n"/>
      <c r="M25" s="98" t="n"/>
      <c r="N25" s="98" t="n"/>
      <c r="O25" s="119" t="inlineStr">
        <is>
          <t>https://travel.rakuten.co.jp/HOTEL/107650/107650.html</t>
        </is>
      </c>
    </row>
    <row r="26" ht="18" customHeight="1" s="59">
      <c r="A26" s="96" t="n">
        <v>20</v>
      </c>
      <c r="B26" s="99" t="inlineStr">
        <is>
          <t>オリエンタルヒルズ沖縄</t>
        </is>
      </c>
      <c r="C26" s="98" t="n"/>
      <c r="D26" s="98" t="n"/>
      <c r="E26" s="98" t="n"/>
      <c r="F26" s="98" t="n"/>
      <c r="G26" s="98" t="n"/>
      <c r="H26" s="98" t="n"/>
      <c r="I26" s="98" t="n"/>
      <c r="J26" s="98" t="n"/>
      <c r="K26" s="98" t="n"/>
      <c r="L26" s="98" t="n"/>
      <c r="M26" s="98" t="n"/>
      <c r="N26" s="98" t="n"/>
      <c r="O26" s="119" t="inlineStr">
        <is>
          <t>https://travel.rakuten.co.jp/HOTEL/76791/76791.html</t>
        </is>
      </c>
    </row>
    <row r="28" ht="15" customHeight="1" s="59">
      <c r="B28" s="102" t="inlineStr">
        <is>
          <t>競合 平均</t>
        </is>
      </c>
      <c r="C28" s="103">
        <f>IFERROR(AVERAGE(C7:C26),"—")</f>
        <v/>
      </c>
      <c r="D28" s="103">
        <f>IFERROR(AVERAGE(D7:D26),"—")</f>
        <v/>
      </c>
      <c r="E28" s="103">
        <f>IFERROR(AVERAGE(E7:E26),"—")</f>
        <v/>
      </c>
      <c r="F28" s="103">
        <f>IFERROR(AVERAGE(F7:F26),"—")</f>
        <v/>
      </c>
      <c r="G28" s="103">
        <f>IFERROR(AVERAGE(G7:G26),"—")</f>
        <v/>
      </c>
      <c r="H28" s="103">
        <f>IFERROR(AVERAGE(H7:H26),"—")</f>
        <v/>
      </c>
      <c r="I28" s="103">
        <f>IFERROR(AVERAGE(I7:I26),"—")</f>
        <v/>
      </c>
      <c r="J28" s="103">
        <f>IFERROR(AVERAGE(J7:J26),"—")</f>
        <v/>
      </c>
      <c r="K28" s="103">
        <f>IFERROR(AVERAGE(K7:K26),"—")</f>
        <v/>
      </c>
      <c r="L28" s="103">
        <f>IFERROR(AVERAGE(L7:L26),"—")</f>
        <v/>
      </c>
      <c r="M28" s="103">
        <f>IFERROR(AVERAGE(M7:M26),"—")</f>
        <v/>
      </c>
      <c r="N28" s="103">
        <f>IFERROR(AVERAGE(N7:N26),"—")</f>
        <v/>
      </c>
    </row>
    <row r="29" ht="15" customHeight="1" s="59">
      <c r="B29" s="102" t="inlineStr">
        <is>
          <t>競合 中央値</t>
        </is>
      </c>
      <c r="C29" s="103">
        <f>IFERROR(MEDIAN(C7:C26),"—")</f>
        <v/>
      </c>
      <c r="D29" s="103">
        <f>IFERROR(MEDIAN(D7:D26),"—")</f>
        <v/>
      </c>
      <c r="E29" s="103">
        <f>IFERROR(MEDIAN(E7:E26),"—")</f>
        <v/>
      </c>
      <c r="F29" s="103">
        <f>IFERROR(MEDIAN(F7:F26),"—")</f>
        <v/>
      </c>
      <c r="G29" s="103">
        <f>IFERROR(MEDIAN(G7:G26),"—")</f>
        <v/>
      </c>
      <c r="H29" s="103">
        <f>IFERROR(MEDIAN(H7:H26),"—")</f>
        <v/>
      </c>
      <c r="I29" s="103">
        <f>IFERROR(MEDIAN(I7:I26),"—")</f>
        <v/>
      </c>
      <c r="J29" s="103">
        <f>IFERROR(MEDIAN(J7:J26),"—")</f>
        <v/>
      </c>
      <c r="K29" s="103">
        <f>IFERROR(MEDIAN(K7:K26),"—")</f>
        <v/>
      </c>
      <c r="L29" s="103">
        <f>IFERROR(MEDIAN(L7:L26),"—")</f>
        <v/>
      </c>
      <c r="M29" s="103">
        <f>IFERROR(MEDIAN(M7:M26),"—")</f>
        <v/>
      </c>
      <c r="N29" s="103">
        <f>IFERROR(MEDIAN(N7:N26),"—")</f>
        <v/>
      </c>
    </row>
  </sheetData>
  <mergeCells count="10">
    <mergeCell ref="G6:J6"/>
    <mergeCell ref="K4:N4"/>
    <mergeCell ref="K6:N6"/>
    <mergeCell ref="B4:B5"/>
    <mergeCell ref="C4:F4"/>
    <mergeCell ref="A4:A5"/>
    <mergeCell ref="G4:J4"/>
    <mergeCell ref="A2:N2"/>
    <mergeCell ref="C6:F6"/>
    <mergeCell ref="A1:N1"/>
  </mergeCells>
  <hyperlinks>
    <hyperlink xmlns:r="http://schemas.openxmlformats.org/officeDocument/2006/relationships" ref="O7" r:id="rId1"/>
    <hyperlink xmlns:r="http://schemas.openxmlformats.org/officeDocument/2006/relationships" ref="O8" r:id="rId2"/>
    <hyperlink xmlns:r="http://schemas.openxmlformats.org/officeDocument/2006/relationships" ref="O9" r:id="rId3"/>
    <hyperlink xmlns:r="http://schemas.openxmlformats.org/officeDocument/2006/relationships" ref="O10" r:id="rId4"/>
    <hyperlink xmlns:r="http://schemas.openxmlformats.org/officeDocument/2006/relationships" ref="O11" r:id="rId5"/>
    <hyperlink xmlns:r="http://schemas.openxmlformats.org/officeDocument/2006/relationships" ref="O12" r:id="rId6"/>
    <hyperlink xmlns:r="http://schemas.openxmlformats.org/officeDocument/2006/relationships" ref="O13" r:id="rId7"/>
    <hyperlink xmlns:r="http://schemas.openxmlformats.org/officeDocument/2006/relationships" ref="O14" r:id="rId8"/>
    <hyperlink xmlns:r="http://schemas.openxmlformats.org/officeDocument/2006/relationships" ref="O15" r:id="rId9"/>
    <hyperlink xmlns:r="http://schemas.openxmlformats.org/officeDocument/2006/relationships" ref="O16" r:id="rId10"/>
    <hyperlink xmlns:r="http://schemas.openxmlformats.org/officeDocument/2006/relationships" ref="O17" r:id="rId11"/>
    <hyperlink xmlns:r="http://schemas.openxmlformats.org/officeDocument/2006/relationships" ref="O18" r:id="rId12"/>
    <hyperlink xmlns:r="http://schemas.openxmlformats.org/officeDocument/2006/relationships" ref="O19" r:id="rId13"/>
    <hyperlink xmlns:r="http://schemas.openxmlformats.org/officeDocument/2006/relationships" ref="O20" r:id="rId14"/>
    <hyperlink xmlns:r="http://schemas.openxmlformats.org/officeDocument/2006/relationships" ref="O21" r:id="rId15"/>
    <hyperlink xmlns:r="http://schemas.openxmlformats.org/officeDocument/2006/relationships" ref="O22" r:id="rId16"/>
    <hyperlink xmlns:r="http://schemas.openxmlformats.org/officeDocument/2006/relationships" ref="O23" r:id="rId17"/>
    <hyperlink xmlns:r="http://schemas.openxmlformats.org/officeDocument/2006/relationships" ref="O24" r:id="rId18"/>
    <hyperlink xmlns:r="http://schemas.openxmlformats.org/officeDocument/2006/relationships" ref="O25" r:id="rId19"/>
    <hyperlink xmlns:r="http://schemas.openxmlformats.org/officeDocument/2006/relationships" ref="O26" r:id="rId2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B2:G2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58" min="1" max="1"/>
    <col width="24" customWidth="1" style="58" min="2" max="2"/>
    <col width="16" customWidth="1" style="58" min="3" max="6"/>
    <col width="18" customWidth="1" style="58" min="7" max="7"/>
  </cols>
  <sheetData>
    <row r="2" ht="25.5" customHeight="1" s="59">
      <c r="B2" s="104" t="inlineStr">
        <is>
          <t>再構築分析：室タイプ別 競合レンジ vs 想定150室プロダクト</t>
        </is>
      </c>
    </row>
    <row r="4" ht="17.15" customHeight="1" s="59">
      <c r="B4" s="105" t="inlineStr">
        <is>
          <t>A. 競合 実勢レンジ（採取シート「03」から自動集計・室タイプ別）</t>
        </is>
      </c>
    </row>
    <row r="5" ht="15" customHeight="1" s="59">
      <c r="B5" s="106" t="inlineStr">
        <is>
          <t>室タイプ</t>
        </is>
      </c>
      <c r="C5" s="106" t="inlineStr">
        <is>
          <t>ピーク(平均)</t>
        </is>
      </c>
      <c r="D5" s="106" t="inlineStr">
        <is>
          <t>ショルダー(平均)</t>
        </is>
      </c>
      <c r="E5" s="106" t="inlineStr">
        <is>
          <t>オフ(平均)</t>
        </is>
      </c>
      <c r="F5" s="106" t="inlineStr">
        <is>
          <t>通期平均</t>
        </is>
      </c>
      <c r="G5" s="106" t="inlineStr">
        <is>
          <t>通期中央値</t>
        </is>
      </c>
    </row>
    <row r="6" ht="15" customHeight="1" s="59">
      <c r="B6" s="84" t="inlineStr">
        <is>
          <t>T1 スタンダード</t>
        </is>
      </c>
      <c r="C6" s="107">
        <f>IFERROR(03_料金採取テンプレ!C28,"—")</f>
        <v/>
      </c>
      <c r="D6" s="107">
        <f>IFERROR(03_料金採取テンプレ!G28,"—")</f>
        <v/>
      </c>
      <c r="E6" s="107">
        <f>IFERROR(03_料金採取テンプレ!K28,"—")</f>
        <v/>
      </c>
      <c r="F6" s="103">
        <f>IFERROR(AVERAGE(03_料金採取テンプレ!C7:C26,03_料金採取テンプレ!G7:G26,03_料金採取テンプレ!K7:K26),"—")</f>
        <v/>
      </c>
      <c r="G6" s="103">
        <f>IFERROR(MEDIAN(03_料金採取テンプレ!C7:C26,03_料金採取テンプレ!G7:G26,03_料金採取テンプレ!K7:K26),"—")</f>
        <v/>
      </c>
    </row>
    <row r="7" ht="15" customHeight="1" s="59">
      <c r="B7" s="80" t="inlineStr">
        <is>
          <t>T2 デラックスOV</t>
        </is>
      </c>
      <c r="C7" s="108">
        <f>IFERROR(03_料金採取テンプレ!D28,"—")</f>
        <v/>
      </c>
      <c r="D7" s="108">
        <f>IFERROR(03_料金採取テンプレ!H28,"—")</f>
        <v/>
      </c>
      <c r="E7" s="108">
        <f>IFERROR(03_料金採取テンプレ!L28,"—")</f>
        <v/>
      </c>
      <c r="F7" s="103">
        <f>IFERROR(AVERAGE(03_料金採取テンプレ!D7:D26,03_料金採取テンプレ!H7:H26,03_料金採取テンプレ!L7:L26),"—")</f>
        <v/>
      </c>
      <c r="G7" s="103">
        <f>IFERROR(MEDIAN(03_料金採取テンプレ!D7:D26,03_料金採取テンプレ!H7:H26,03_料金採取テンプレ!L7:L26),"—")</f>
        <v/>
      </c>
    </row>
    <row r="8" ht="15" customHeight="1" s="59">
      <c r="B8" s="84" t="inlineStr">
        <is>
          <t>T3 スイート/プレミアム</t>
        </is>
      </c>
      <c r="C8" s="107">
        <f>IFERROR(03_料金採取テンプレ!E28,"—")</f>
        <v/>
      </c>
      <c r="D8" s="107">
        <f>IFERROR(03_料金採取テンプレ!I28,"—")</f>
        <v/>
      </c>
      <c r="E8" s="107">
        <f>IFERROR(03_料金採取テンプレ!M28,"—")</f>
        <v/>
      </c>
      <c r="F8" s="103">
        <f>IFERROR(AVERAGE(03_料金採取テンプレ!E7:E26,03_料金採取テンプレ!I7:I26,03_料金採取テンプレ!M7:M26),"—")</f>
        <v/>
      </c>
      <c r="G8" s="103">
        <f>IFERROR(MEDIAN(03_料金採取テンプレ!E7:E26,03_料金採取テンプレ!I7:I26,03_料金採取テンプレ!M7:M26),"—")</f>
        <v/>
      </c>
    </row>
    <row r="9" ht="15" customHeight="1" s="59">
      <c r="B9" s="80" t="inlineStr">
        <is>
          <t>T4 ヴィラ/コンド</t>
        </is>
      </c>
      <c r="C9" s="108">
        <f>IFERROR(03_料金採取テンプレ!F28,"—")</f>
        <v/>
      </c>
      <c r="D9" s="108">
        <f>IFERROR(03_料金採取テンプレ!J28,"—")</f>
        <v/>
      </c>
      <c r="E9" s="108">
        <f>IFERROR(03_料金採取テンプレ!N28,"—")</f>
        <v/>
      </c>
      <c r="F9" s="103">
        <f>IFERROR(AVERAGE(03_料金採取テンプレ!F7:F26,03_料金採取テンプレ!J7:J26,03_料金採取テンプレ!N7:N26),"—")</f>
        <v/>
      </c>
      <c r="G9" s="103">
        <f>IFERROR(MEDIAN(03_料金採取テンプレ!F7:F26,03_料金採取テンプレ!J7:J26,03_料金採取テンプレ!N7:N26),"—")</f>
        <v/>
      </c>
    </row>
    <row r="12" ht="17.15" customHeight="1" s="59">
      <c r="B12" s="105" t="inlineStr">
        <is>
          <t>B. 想定150室プロダクト：室構成（想定・編集可）と目標ADRの置き方</t>
        </is>
      </c>
    </row>
    <row r="13" ht="15" customHeight="1" s="59">
      <c r="B13" s="109" t="inlineStr">
        <is>
          <t>室タイプ</t>
        </is>
      </c>
      <c r="C13" s="109" t="inlineStr">
        <is>
          <t>想定室数</t>
        </is>
      </c>
      <c r="D13" s="109" t="inlineStr">
        <is>
          <t>競合通期平均</t>
        </is>
      </c>
      <c r="E13" s="109" t="inlineStr">
        <is>
          <t>目標指数(%)</t>
        </is>
      </c>
      <c r="F13" s="109" t="inlineStr">
        <is>
          <t>目標ADR(円)</t>
        </is>
      </c>
      <c r="G13" s="109" t="inlineStr">
        <is>
          <t>月間潜在売上*</t>
        </is>
      </c>
    </row>
    <row r="14" ht="15" customHeight="1" s="59">
      <c r="B14" s="80" t="inlineStr">
        <is>
          <t>T1 スタンダード</t>
        </is>
      </c>
      <c r="C14" s="110" t="n">
        <v>60</v>
      </c>
      <c r="D14" s="108">
        <f>IF(ISNUMBER(F6),F6,"—")</f>
        <v/>
      </c>
      <c r="E14" s="111" t="n">
        <v>110</v>
      </c>
      <c r="F14" s="108">
        <f>IFERROR(D14*E14/100,"—")</f>
        <v/>
      </c>
      <c r="G14" s="108">
        <f>IFERROR(C14*F14*30*0.7,"—")</f>
        <v/>
      </c>
    </row>
    <row r="15" ht="15" customHeight="1" s="59">
      <c r="B15" s="80" t="inlineStr">
        <is>
          <t>T2 デラックスOV</t>
        </is>
      </c>
      <c r="C15" s="110" t="n">
        <v>55</v>
      </c>
      <c r="D15" s="108">
        <f>IF(ISNUMBER(F7),F7,"—")</f>
        <v/>
      </c>
      <c r="E15" s="111" t="n">
        <v>115</v>
      </c>
      <c r="F15" s="108">
        <f>IFERROR(D15*E15/100,"—")</f>
        <v/>
      </c>
      <c r="G15" s="108">
        <f>IFERROR(C15*F15*30*0.7,"—")</f>
        <v/>
      </c>
    </row>
    <row r="16" ht="15" customHeight="1" s="59">
      <c r="B16" s="80" t="inlineStr">
        <is>
          <t>T3 スイート/プレミアム</t>
        </is>
      </c>
      <c r="C16" s="110" t="n">
        <v>25</v>
      </c>
      <c r="D16" s="108">
        <f>IF(ISNUMBER(F8),F8,"—")</f>
        <v/>
      </c>
      <c r="E16" s="111" t="n">
        <v>120</v>
      </c>
      <c r="F16" s="108">
        <f>IFERROR(D16*E16/100,"—")</f>
        <v/>
      </c>
      <c r="G16" s="108">
        <f>IFERROR(C16*F16*30*0.7,"—")</f>
        <v/>
      </c>
    </row>
    <row r="17" ht="15" customHeight="1" s="59">
      <c r="B17" s="80" t="inlineStr">
        <is>
          <t>T4 ヴィラ/コンド</t>
        </is>
      </c>
      <c r="C17" s="110" t="n">
        <v>10</v>
      </c>
      <c r="D17" s="108">
        <f>IF(ISNUMBER(F9),F9,"—")</f>
        <v/>
      </c>
      <c r="E17" s="111" t="n">
        <v>130</v>
      </c>
      <c r="F17" s="108">
        <f>IFERROR(D17*E17/100,"—")</f>
        <v/>
      </c>
      <c r="G17" s="108">
        <f>IFERROR(C17*F17*30*0.7,"—")</f>
        <v/>
      </c>
    </row>
    <row r="18" ht="15" customHeight="1" s="59">
      <c r="B18" s="112" t="inlineStr">
        <is>
          <t>合計 / 加重</t>
        </is>
      </c>
      <c r="C18" s="103">
        <f>SUM(C14:C17)</f>
        <v/>
      </c>
      <c r="F18" s="103">
        <f>IFERROR(SUMPRODUCT(C14:C17,F14:F17)/C18,"—")</f>
        <v/>
      </c>
      <c r="G18" s="103">
        <f>IFERROR(SUM(G14:G17),"—")</f>
        <v/>
      </c>
    </row>
    <row r="20" ht="13.5" customHeight="1" s="59">
      <c r="B20" s="113" t="inlineStr">
        <is>
          <t>* 月間潜在売上 = 室数 × 目標ADR × 30泊 × 稼働70%（稼働率は仮置き。事業計画で差替え）。</t>
        </is>
      </c>
    </row>
    <row r="21" ht="13.5" customHeight="1" s="59">
      <c r="B21" s="85" t="inlineStr">
        <is>
          <t>青字セル＝入力（室数・目標指数）。目標指数=競合通期平均に対する狙い(%)。100%=競合平均並み、120%=2割上。</t>
        </is>
      </c>
    </row>
    <row r="22" ht="13.5" customHeight="1" s="59">
      <c r="B22" s="85" t="inlineStr">
        <is>
          <t>「競合通期平均」はD列で室タイプ別に自動連動。採取シート03に実勢を入れると本表とパネルAが更新されます。</t>
        </is>
      </c>
    </row>
  </sheetData>
  <mergeCells count="4">
    <mergeCell ref="B22:G22"/>
    <mergeCell ref="B2:G2"/>
    <mergeCell ref="B20:G20"/>
    <mergeCell ref="B21:G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C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58" min="2" max="2"/>
    <col width="70" customWidth="1" style="58" min="3" max="3"/>
  </cols>
  <sheetData>
    <row r="2" ht="24" customHeight="1" s="59">
      <c r="B2" s="114" t="inlineStr">
        <is>
          <t>採取手順・定義（採取の再現性を担保するルール）</t>
        </is>
      </c>
    </row>
    <row r="4" ht="30" customHeight="1" s="59">
      <c r="B4" s="115" t="inlineStr">
        <is>
          <t>採取媒体</t>
        </is>
      </c>
      <c r="C4" s="116" t="inlineStr">
        <is>
          <t>楽天トラベル（対象20軒それぞれの施設ページ空室・料金カレンダー）</t>
        </is>
      </c>
    </row>
    <row r="5" ht="30" customHeight="1" s="59">
      <c r="B5" s="115" t="inlineStr">
        <is>
          <t>採取単位</t>
        </is>
      </c>
      <c r="C5" s="117" t="inlineStr">
        <is>
          <t>1泊 / 2名1室 / 素泊まり（食事なし）を基準。朝食付しか無い場合は朝食付で採り、その旨を注記</t>
        </is>
      </c>
    </row>
    <row r="6" ht="30" customHeight="1" s="59">
      <c r="B6" s="115" t="inlineStr">
        <is>
          <t>料金定義</t>
        </is>
      </c>
      <c r="C6" s="116" t="inlineStr">
        <is>
          <t>税・サービス料込みの総額。ポイント還元前の提示価格。最安返金可プランを採用</t>
        </is>
      </c>
    </row>
    <row r="7" ht="30" customHeight="1" s="59">
      <c r="B7" s="115" t="inlineStr">
        <is>
          <t>対象週 W1 ピーク</t>
        </is>
      </c>
      <c r="C7" s="116" t="inlineStr">
        <is>
          <t>例：8月お盆週（要:実日付をシート03に記入）。連休・繁忙を代表</t>
        </is>
      </c>
    </row>
    <row r="8" ht="30" customHeight="1" s="59">
      <c r="B8" s="115" t="inlineStr">
        <is>
          <t>対象週 W2 ショルダー</t>
        </is>
      </c>
      <c r="C8" s="116" t="inlineStr">
        <is>
          <t>例：6月 または 10月の平常週。中間需要を代表</t>
        </is>
      </c>
    </row>
    <row r="9" ht="30" customHeight="1" s="59">
      <c r="B9" s="115" t="inlineStr">
        <is>
          <t>対象週 W3 オフ</t>
        </is>
      </c>
      <c r="C9" s="116" t="inlineStr">
        <is>
          <t>例：12月の平日週。閑散を代表</t>
        </is>
      </c>
    </row>
    <row r="10" ht="30" customHeight="1" s="59">
      <c r="B10" s="115" t="inlineStr">
        <is>
          <t>採取曜日</t>
        </is>
      </c>
      <c r="C10" s="116" t="inlineStr">
        <is>
          <t>各対象週の平日(火or水)と週末(土)の2点を採り、必要に応じ平均。方式は全軒で統一</t>
        </is>
      </c>
    </row>
    <row r="11" ht="30" customHeight="1" s="59">
      <c r="B11" s="115" t="inlineStr">
        <is>
          <t>室タイプ T1</t>
        </is>
      </c>
      <c r="C11" s="116" t="inlineStr">
        <is>
          <t>スタンダード（〜約35㎡ / 2名標準・ビュー指定なし）</t>
        </is>
      </c>
    </row>
    <row r="12" ht="30" customHeight="1" s="59">
      <c r="B12" s="115" t="inlineStr">
        <is>
          <t>室タイプ T2</t>
        </is>
      </c>
      <c r="C12" s="116" t="inlineStr">
        <is>
          <t>デラックス／スーペリア・オーシャンビュー（約35〜55㎡）</t>
        </is>
      </c>
    </row>
    <row r="13" ht="30" customHeight="1" s="59">
      <c r="B13" s="115" t="inlineStr">
        <is>
          <t>室タイプ T3</t>
        </is>
      </c>
      <c r="C13" s="116" t="inlineStr">
        <is>
          <t>スイート／プレミアム／クラブフロア（約55㎡〜）</t>
        </is>
      </c>
    </row>
    <row r="14" ht="30" customHeight="1" s="59">
      <c r="B14" s="115" t="inlineStr">
        <is>
          <t>室タイプ T4</t>
        </is>
      </c>
      <c r="C14" s="116" t="inlineStr">
        <is>
          <t>ヴィラ／コンドミニアム／プール付・キッチン付等の特別形態</t>
        </is>
      </c>
    </row>
    <row r="15" ht="30" customHeight="1" s="59">
      <c r="B15" s="115" t="inlineStr">
        <is>
          <t>マッピング</t>
        </is>
      </c>
      <c r="C15" s="116" t="inlineStr">
        <is>
          <t>各社の実際の部屋名をT1〜T4のどれかに割当てて採取。判断に迷う部屋は備考へ</t>
        </is>
      </c>
    </row>
    <row r="16" ht="30" customHeight="1" s="59">
      <c r="B16" s="115" t="inlineStr">
        <is>
          <t>欠測の扱い</t>
        </is>
      </c>
      <c r="C16" s="116" t="inlineStr">
        <is>
          <t>満室・非提供でレートが取れない週は空欄のまま（0は入れない）。平均計算から自動除外される</t>
        </is>
      </c>
    </row>
    <row r="17" ht="30" customHeight="1" s="59">
      <c r="B17" s="115" t="inlineStr">
        <is>
          <t>採取タイミング</t>
        </is>
      </c>
      <c r="C17" s="116" t="inlineStr">
        <is>
          <t>全軒を同一日にまとめて採取（同一の予約リードタイムに揃える）。採取日をログに残す</t>
        </is>
      </c>
    </row>
    <row r="18" ht="30" customHeight="1" s="59">
      <c r="B18" s="115" t="inlineStr">
        <is>
          <t>更新頻度</t>
        </is>
      </c>
      <c r="C18" s="116" t="inlineStr">
        <is>
          <t>四半期ごと、または需要期前に再採取して時系列比較。列を複製して版管理</t>
        </is>
      </c>
    </row>
  </sheetData>
  <mergeCells count="1">
    <mergeCell ref="B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2026-07-06T02:19:58Z</dcterms:created>
  <dcterms:modified xmlns:dcterms="http://purl.org/dc/terms/" xmlns:xsi="http://www.w3.org/2001/XMLSchema-instance" xsi:type="dcterms:W3CDTF">2026-07-06T07:37:20Z</dcterms:modified>
  <cp:revision>0</cp:revision>
</cp:coreProperties>
</file>